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c\Desktop\IBM_HR_Analytics_Project\"/>
    </mc:Choice>
  </mc:AlternateContent>
  <xr:revisionPtr revIDLastSave="0" documentId="13_ncr:1_{03C3A091-7273-4280-891C-CE27C44F6C1D}" xr6:coauthVersionLast="47" xr6:coauthVersionMax="47" xr10:uidLastSave="{00000000-0000-0000-0000-000000000000}"/>
  <bookViews>
    <workbookView xWindow="-110" yWindow="-110" windowWidth="19420" windowHeight="10300" xr2:uid="{408BA6AB-5196-496B-9C80-B057CC378CDA}"/>
  </bookViews>
  <sheets>
    <sheet name="Data" sheetId="1" r:id="rId1"/>
    <sheet name="Dashboards" sheetId="2" r:id="rId2"/>
    <sheet name="Pivot Tables" sheetId="3" r:id="rId3"/>
  </sheets>
  <definedNames>
    <definedName name="Slicer_Department">#N/A</definedName>
    <definedName name="Slicer_Gender">#N/A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17" i="3" l="1"/>
  <c r="Z16" i="3"/>
  <c r="Z15" i="3"/>
  <c r="Z14" i="3"/>
  <c r="Z13" i="3"/>
  <c r="W17" i="3"/>
  <c r="W16" i="3"/>
  <c r="W15" i="3"/>
  <c r="W14" i="3"/>
  <c r="W13" i="3"/>
  <c r="G17" i="3"/>
  <c r="G16" i="3"/>
  <c r="G15" i="3"/>
  <c r="G14" i="3"/>
  <c r="G13" i="3"/>
  <c r="F13" i="3"/>
  <c r="T17" i="3"/>
  <c r="T16" i="3"/>
  <c r="T15" i="3"/>
  <c r="T14" i="3"/>
  <c r="T13" i="3"/>
  <c r="O13" i="3"/>
  <c r="O12" i="3"/>
  <c r="O11" i="3"/>
  <c r="J21" i="3"/>
  <c r="J20" i="3"/>
  <c r="J17" i="3"/>
  <c r="J16" i="3"/>
  <c r="J15" i="3"/>
  <c r="J14" i="3"/>
  <c r="J13" i="3"/>
  <c r="F17" i="3"/>
  <c r="F16" i="3"/>
  <c r="F15" i="3"/>
  <c r="F14" i="3"/>
  <c r="C13" i="3"/>
  <c r="C12" i="3"/>
  <c r="C11" i="3"/>
  <c r="W18" i="3" l="1"/>
  <c r="Z18" i="3"/>
  <c r="G18" i="3"/>
  <c r="C14" i="3"/>
  <c r="J18" i="3"/>
  <c r="J22" i="3"/>
  <c r="K20" i="3"/>
  <c r="L21" i="3" s="1"/>
  <c r="K21" i="3"/>
  <c r="L20" i="3" s="1"/>
  <c r="O14" i="3"/>
  <c r="P11" i="3"/>
  <c r="Q11" i="3" s="1"/>
  <c r="P12" i="3"/>
  <c r="Q12" i="3" s="1"/>
  <c r="P13" i="3"/>
  <c r="Q13" i="3" s="1"/>
  <c r="T18" i="3"/>
  <c r="F18" i="3"/>
</calcChain>
</file>

<file path=xl/sharedStrings.xml><?xml version="1.0" encoding="utf-8"?>
<sst xmlns="http://schemas.openxmlformats.org/spreadsheetml/2006/main" count="876" uniqueCount="229">
  <si>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</si>
  <si>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</si>
  <si>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</si>
  <si>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</si>
  <si>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</si>
  <si>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</si>
  <si>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</si>
  <si>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</si>
  <si>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</si>
  <si>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</si>
  <si>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</si>
  <si>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</si>
  <si>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</si>
  <si>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</si>
  <si>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</si>
  <si>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</si>
  <si>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</si>
  <si>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</si>
  <si>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</si>
  <si>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</si>
  <si>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</si>
  <si>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</si>
  <si>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</si>
  <si>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</si>
  <si>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</si>
  <si>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</si>
  <si>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</si>
  <si>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</si>
  <si>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</si>
  <si>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</si>
  <si>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</si>
  <si>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</si>
  <si>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</si>
  <si>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</si>
  <si>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</si>
  <si>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</si>
  <si>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</si>
  <si>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</si>
  <si>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</si>
  <si>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</si>
  <si>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</si>
  <si>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</si>
  <si>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</si>
  <si>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</si>
  <si>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</si>
  <si>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</si>
  <si>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</si>
  <si>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</si>
  <si>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</si>
  <si>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</si>
  <si>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</si>
  <si>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</si>
  <si>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</si>
  <si>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</si>
  <si>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</si>
  <si>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</si>
  <si>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</si>
  <si>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</si>
  <si>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</si>
  <si>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</si>
  <si>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</si>
  <si>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</si>
  <si>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</si>
  <si>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</si>
  <si>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</si>
  <si>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</si>
  <si>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</si>
  <si>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</si>
  <si>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</si>
  <si>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</si>
  <si>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</si>
  <si>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</si>
  <si>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</si>
  <si>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</si>
  <si>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</si>
  <si>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</si>
  <si>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</si>
  <si>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</si>
  <si>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</si>
  <si>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</si>
  <si>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</si>
  <si>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</si>
  <si>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</si>
  <si>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</si>
  <si>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</si>
  <si>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</si>
  <si>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</si>
  <si>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</si>
  <si>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</si>
  <si>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</si>
  <si>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</si>
  <si>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</si>
  <si>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</si>
  <si>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</si>
  <si>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</si>
  <si>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</si>
  <si>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</si>
  <si>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</si>
  <si>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</si>
  <si>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</si>
  <si>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</si>
  <si>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</si>
  <si>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</si>
  <si>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</si>
  <si>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</si>
  <si>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</si>
  <si>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</si>
  <si>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</si>
  <si>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</si>
  <si>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</si>
  <si>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</si>
  <si>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</si>
  <si>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</si>
  <si>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</si>
  <si>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</si>
  <si>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</si>
  <si>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</si>
  <si>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</si>
  <si>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</si>
  <si>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</si>
  <si>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</si>
  <si>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</si>
  <si>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</si>
  <si>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</si>
  <si>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</si>
  <si>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</si>
  <si>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</si>
  <si>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</si>
  <si>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</si>
  <si>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</si>
  <si>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</si>
  <si>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</si>
  <si>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</si>
  <si>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</si>
  <si>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</si>
  <si>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</si>
  <si>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</si>
  <si>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</si>
  <si>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</si>
  <si>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</si>
  <si>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</si>
  <si>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</si>
  <si>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</si>
  <si>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</si>
  <si>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</si>
  <si>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</si>
  <si>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</si>
  <si>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</si>
  <si>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</si>
  <si>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</si>
  <si>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</si>
  <si>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</si>
  <si>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</si>
  <si>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</si>
  <si>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</si>
  <si>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</si>
  <si>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</si>
  <si>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</si>
  <si>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</si>
  <si>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</si>
  <si>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</si>
  <si>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</si>
  <si>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</si>
  <si>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</si>
  <si>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</si>
  <si>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</si>
  <si>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</si>
  <si>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</si>
  <si>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</si>
  <si>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</si>
  <si>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</si>
  <si>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</si>
  <si>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</si>
  <si>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</si>
  <si>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</si>
  <si>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</si>
  <si>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</si>
  <si>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</si>
  <si>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</si>
  <si>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</si>
  <si>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</si>
  <si>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</si>
  <si>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</si>
  <si>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</si>
  <si>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</si>
  <si>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</si>
  <si>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</si>
  <si>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</si>
  <si>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</si>
  <si>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</si>
  <si>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</si>
  <si>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</si>
  <si>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</si>
  <si>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</si>
  <si>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</si>
  <si>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</si>
  <si>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</si>
  <si>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</si>
  <si>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</si>
  <si>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</si>
  <si>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</si>
  <si>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</si>
  <si>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</si>
  <si>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</si>
  <si>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</si>
  <si>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</si>
  <si>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</si>
  <si>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</si>
  <si>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</si>
  <si>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</si>
  <si>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</si>
  <si>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</si>
  <si>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</si>
  <si>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</si>
  <si>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Nombre de Full Name</t>
  </si>
  <si>
    <t>Number of employees to employment status</t>
  </si>
  <si>
    <t>Total</t>
  </si>
  <si>
    <t>Row Labels</t>
  </si>
  <si>
    <t>Grand Total</t>
  </si>
  <si>
    <t>Sum of Salary</t>
  </si>
  <si>
    <t>Salaries to Departments</t>
  </si>
  <si>
    <t>Column Labels</t>
  </si>
  <si>
    <t>Count of Full Name</t>
  </si>
  <si>
    <t>Age Range to gender</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</si>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</sst>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0"/>
    <numFmt numFmtId="166" formatCode="_-* #,##0_-;\-* #,##0_-;_-* &quot;-&quot;??_-;_-@_-"/>
  </numFmts>
  <fonts count="9">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0"/>
      <name val="Aptos Narrow"/>
      <family val="2"/>
      <scheme val="minor"/>
    </font>
    <font>
      <sz val="11"/>
      <color theme="1"/>
      <name val="Aptos Narrow"/>
      <family val="2"/>
      <scheme val="minor"/>
    </font>
    <font>
      <b/>
      <sz val="11"/>
      <color theme="1"/>
      <name val="Aptos Narrow"/>
      <family val="2"/>
      <scheme val="minor"/>
    </font>
    <font>
      <sz val="18"/>
      <color theme="0"/>
      <name val="Kulim Park"/>
    </font>
    <font>
      <sz val="11"/>
      <color theme="1"/>
      <name val="Aptos Narrow"/>
      <scheme val="minor"/>
    </font>
  </fonts>
  <fills count="4">
    <fill>
      <patternFill patternType="none"/>
    </fill>
    <fill>
      <patternFill patternType="gray125"/>
    </fill>
    <fill>
      <patternFill patternType="solid">
        <fgColor rgb="FF282828"/>
        <bgColor indexed="64"/>
      </patternFill>
    </fill>
    <fill>
      <patternFill patternType="solid">
        <fgColor rgb="FF333333"/>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21">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2" fillId="3" borderId="0" xfId="0" applyFont="1" applyFill="1"/>
    <xf numFmtId="0" fontId="0" fillId="0" borderId="0" xfId="0" pivotButton="1"/>
    <xf numFmtId="0" fontId="0" fillId="0" borderId="0" xfId="0" applyAlignment="1">
      <alignment horizontal="left"/>
    </xf>
    <xf numFmtId="0" fontId="0" fillId="0" borderId="0" xfId="0" applyNumberFormat="1"/>
    <xf numFmtId="0" fontId="4" fillId="3" borderId="0" xfId="0" applyFont="1" applyFill="1" applyAlignment="1">
      <alignment horizontal="center" vertical="center"/>
    </xf>
    <xf numFmtId="0" fontId="7" fillId="3" borderId="0" xfId="0" applyFont="1" applyFill="1"/>
    <xf numFmtId="0" fontId="2" fillId="0" borderId="0" xfId="0" applyFont="1"/>
    <xf numFmtId="0" fontId="2" fillId="0" borderId="0" xfId="0" pivotButton="1" applyFont="1"/>
    <xf numFmtId="0" fontId="2" fillId="0" borderId="0" xfId="0" applyFont="1" applyAlignment="1">
      <alignment horizontal="left"/>
    </xf>
    <xf numFmtId="0" fontId="2" fillId="0" borderId="0" xfId="0" applyNumberFormat="1" applyFont="1"/>
    <xf numFmtId="166" fontId="2" fillId="0" borderId="0" xfId="0" applyNumberFormat="1" applyFont="1"/>
    <xf numFmtId="166" fontId="2" fillId="0" borderId="0" xfId="1" applyNumberFormat="1" applyFont="1"/>
    <xf numFmtId="9" fontId="6" fillId="0" borderId="0" xfId="2" applyFont="1"/>
    <xf numFmtId="9" fontId="0" fillId="0" borderId="0" xfId="0" applyNumberFormat="1"/>
    <xf numFmtId="166" fontId="0" fillId="0" borderId="0" xfId="0" applyNumberFormat="1"/>
    <xf numFmtId="164" fontId="0" fillId="0" borderId="0" xfId="0" applyNumberFormat="1"/>
    <xf numFmtId="164" fontId="8" fillId="0" borderId="0" xfId="0" applyNumberFormat="1" applyFont="1"/>
  </cellXfs>
  <cellStyles count="3">
    <cellStyle name="Comma" xfId="1" builtinId="3"/>
    <cellStyle name="Normal" xfId="0" builtinId="0"/>
    <cellStyle name="Percent" xfId="2" builtinId="5"/>
  </cellStyles>
  <dxfs count="201">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numFmt numFmtId="164" formatCode="0.0"/>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font>
        <name val="Kulim park"/>
      </font>
    </dxf>
    <dxf>
      <font>
        <name val="Kulim park"/>
      </font>
    </dxf>
    <dxf>
      <font>
        <name val="Kulim park"/>
      </font>
    </dxf>
    <dxf>
      <font>
        <name val="Kulim park"/>
      </font>
    </dxf>
    <dxf>
      <font>
        <name val="Kulim park"/>
      </font>
    </dxf>
    <dxf>
      <font>
        <name val="Kulim park"/>
      </font>
    </dxf>
    <dxf>
      <numFmt numFmtId="166" formatCode="_-* #,##0_-;\-* #,##0_-;_-* &quot;-&quot;??_-;_-@_-"/>
    </dxf>
    <dxf>
      <numFmt numFmtId="35" formatCode="_-* #,##0.00_-;\-* #,##0.00_-;_-* &quot;-&quot;??_-;_-@_-"/>
    </dxf>
    <dxf>
      <numFmt numFmtId="166" formatCode="_-* #,##0_-;\-* #,##0_-;_-* &quot;-&quot;??_-;_-@_-"/>
    </dxf>
    <dxf>
      <font>
        <sz val="10"/>
      </font>
      <fill>
        <patternFill>
          <fgColor theme="1" tint="4.9989318521683403E-2"/>
          <bgColor theme="1" tint="4.9989318521683403E-2"/>
        </patternFill>
      </fill>
    </dxf>
    <dxf>
      <numFmt numFmtId="164" formatCode="0.0"/>
    </dxf>
    <dxf>
      <numFmt numFmtId="166" formatCode="_-* #,##0_-;\-* #,##0_-;_-* &quot;-&quot;??_-;_-@_-"/>
    </dxf>
    <dxf>
      <numFmt numFmtId="35" formatCode="_-* #,##0.00_-;\-* #,##0.00_-;_-* &quot;-&quot;??_-;_-@_-"/>
    </dxf>
    <dxf>
      <numFmt numFmtId="166" formatCode="_-* #,##0_-;\-* #,##0_-;_-* &quot;-&quot;??_-;_-@_-"/>
    </dxf>
    <dxf>
      <font>
        <name val="Kulim park"/>
      </font>
    </dxf>
    <dxf>
      <font>
        <name val="Kulim park"/>
      </font>
    </dxf>
    <dxf>
      <font>
        <name val="Kulim park"/>
      </font>
    </dxf>
    <dxf>
      <font>
        <name val="Kulim park"/>
      </font>
    </dxf>
    <dxf>
      <font>
        <name val="Kulim park"/>
      </font>
    </dxf>
    <dxf>
      <font>
        <name val="Kulim park"/>
      </font>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1" defaultTableStyle="TableStyleMedium2" defaultPivotStyle="PivotStyleLight16">
    <tableStyle name="Slicer Style 2" pivot="0" table="0" count="6" xr9:uid="{E205FC36-4CA2-4771-83D5-F37D28117B8E}">
      <tableStyleElement type="wholeTable" dxfId="167"/>
    </tableStyle>
  </tableStyles>
  <colors>
    <mruColors>
      <color rgb="FFE5B244"/>
      <color rgb="FF000000"/>
      <color rgb="FFFFFFFF"/>
      <color rgb="FF47763E"/>
      <color rgb="FF70AC74"/>
      <color rgb="FFC6DEC8"/>
      <color rgb="FF968A54"/>
      <color rgb="FF94BA54"/>
      <color rgb="FF333333"/>
    </mruColors>
  </colors>
  <extLst>
    <ext xmlns:x14="http://schemas.microsoft.com/office/spreadsheetml/2009/9/main" uri="{46F421CA-312F-682f-3DD2-61675219B42D}">
      <x14:dxfs count="5">
        <dxf>
          <font>
            <color theme="1" tint="4.9989318521683403E-2"/>
          </font>
          <fill>
            <patternFill>
              <fgColor rgb="FFE5B244"/>
              <bgColor rgb="FFE5B244"/>
            </patternFill>
          </fill>
        </dxf>
        <dxf>
          <font>
            <color rgb="FFE5B244"/>
          </font>
          <fill>
            <patternFill>
              <bgColor theme="1" tint="4.9989318521683403E-2"/>
            </patternFill>
          </fill>
        </dxf>
        <dxf>
          <font>
            <b/>
            <i val="0"/>
          </font>
          <fill>
            <patternFill>
              <fgColor rgb="FFE5B244"/>
              <bgColor rgb="FFE5B244"/>
            </patternFill>
          </fill>
        </dxf>
        <dxf>
          <font>
            <b/>
            <i val="0"/>
            <color rgb="FF000000"/>
          </font>
          <fill>
            <patternFill>
              <fgColor rgb="FFE5B244"/>
              <bgColor rgb="FFE5B244"/>
            </patternFill>
          </fill>
        </dxf>
        <dxf>
          <font>
            <b/>
            <i val="0"/>
            <color theme="0"/>
          </font>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tx1"/>
              </a:solidFill>
            </a:ln>
          </c:spPr>
          <c:dPt>
            <c:idx val="0"/>
            <c:bubble3D val="0"/>
            <c:spPr>
              <a:solidFill>
                <a:srgbClr val="E5B244"/>
              </a:solidFill>
              <a:ln w="19050">
                <a:solidFill>
                  <a:schemeClr val="tx1"/>
                </a:solidFill>
              </a:ln>
              <a:effectLst/>
            </c:spPr>
            <c:extLst>
              <c:ext xmlns:c16="http://schemas.microsoft.com/office/drawing/2014/chart" uri="{C3380CC4-5D6E-409C-BE32-E72D297353CC}">
                <c16:uniqueId val="{00000001-C702-46BA-B7A8-5F17AE9BC619}"/>
              </c:ext>
            </c:extLst>
          </c:dPt>
          <c:dPt>
            <c:idx val="1"/>
            <c:bubble3D val="0"/>
            <c:spPr>
              <a:solidFill>
                <a:schemeClr val="tx1">
                  <a:lumMod val="75000"/>
                  <a:lumOff val="25000"/>
                </a:schemeClr>
              </a:solidFill>
              <a:ln w="19050">
                <a:solidFill>
                  <a:schemeClr val="tx1"/>
                </a:solidFill>
              </a:ln>
              <a:effectLst/>
            </c:spPr>
            <c:extLst>
              <c:ext xmlns:c16="http://schemas.microsoft.com/office/drawing/2014/chart" uri="{C3380CC4-5D6E-409C-BE32-E72D297353CC}">
                <c16:uniqueId val="{00000003-C702-46BA-B7A8-5F17AE9BC619}"/>
              </c:ext>
            </c:extLst>
          </c:dPt>
          <c:dPt>
            <c:idx val="2"/>
            <c:bubble3D val="0"/>
            <c:spPr>
              <a:solidFill>
                <a:schemeClr val="bg2">
                  <a:lumMod val="90000"/>
                </a:schemeClr>
              </a:solidFill>
              <a:ln w="19050">
                <a:solidFill>
                  <a:schemeClr val="tx1"/>
                </a:solidFill>
              </a:ln>
              <a:effectLst/>
            </c:spPr>
            <c:extLst>
              <c:ext xmlns:c16="http://schemas.microsoft.com/office/drawing/2014/chart" uri="{C3380CC4-5D6E-409C-BE32-E72D297353CC}">
                <c16:uniqueId val="{00000005-C702-46BA-B7A8-5F17AE9BC619}"/>
              </c:ext>
            </c:extLst>
          </c:dPt>
          <c:cat>
            <c:strRef>
              <c:f>'Pivot Tables'!$B$11:$B$13</c:f>
              <c:strCache>
                <c:ptCount val="3"/>
                <c:pt idx="0">
                  <c:v>Contract</c:v>
                </c:pt>
                <c:pt idx="1">
                  <c:v>Full-Time</c:v>
                </c:pt>
                <c:pt idx="2">
                  <c:v>Part-Time</c:v>
                </c:pt>
              </c:strCache>
            </c:strRef>
          </c:cat>
          <c:val>
            <c:numRef>
              <c:f>'Pivot Tables'!$C$11:$C$13</c:f>
              <c:numCache>
                <c:formatCode>General</c:formatCode>
                <c:ptCount val="3"/>
                <c:pt idx="0">
                  <c:v>17</c:v>
                </c:pt>
                <c:pt idx="1">
                  <c:v>20</c:v>
                </c:pt>
                <c:pt idx="2">
                  <c:v>13</c:v>
                </c:pt>
              </c:numCache>
            </c:numRef>
          </c:val>
          <c:extLst>
            <c:ext xmlns:c16="http://schemas.microsoft.com/office/drawing/2014/chart" uri="{C3380CC4-5D6E-409C-BE32-E72D297353CC}">
              <c16:uniqueId val="{00000006-C702-46BA-B7A8-5F17AE9BC61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Tables!PivotTable2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Tables'!$J$4:$J$5</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Tables'!$I$6:$I$11</c:f>
              <c:strCache>
                <c:ptCount val="5"/>
                <c:pt idx="0">
                  <c:v>18-25</c:v>
                </c:pt>
                <c:pt idx="1">
                  <c:v>26-35</c:v>
                </c:pt>
                <c:pt idx="2">
                  <c:v>36-45</c:v>
                </c:pt>
                <c:pt idx="3">
                  <c:v>46-55</c:v>
                </c:pt>
                <c:pt idx="4">
                  <c:v>56 &lt;</c:v>
                </c:pt>
              </c:strCache>
            </c:strRef>
          </c:cat>
          <c:val>
            <c:numRef>
              <c:f>'Pivot Tables'!$J$6:$J$11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DFE5-434B-ACED-BBDD92B9D79C}"/>
            </c:ext>
          </c:extLst>
        </c:ser>
        <c:ser>
          <c:idx val="1"/>
          <c:order val="1"/>
          <c:tx>
            <c:strRef>
              <c:f>'Pivot Tables'!$K$4:$K$5</c:f>
              <c:strCache>
                <c:ptCount val="1"/>
                <c:pt idx="0">
                  <c:v>Male</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Tables'!$I$6:$I$11</c:f>
              <c:strCache>
                <c:ptCount val="5"/>
                <c:pt idx="0">
                  <c:v>18-25</c:v>
                </c:pt>
                <c:pt idx="1">
                  <c:v>26-35</c:v>
                </c:pt>
                <c:pt idx="2">
                  <c:v>36-45</c:v>
                </c:pt>
                <c:pt idx="3">
                  <c:v>46-55</c:v>
                </c:pt>
                <c:pt idx="4">
                  <c:v>56 &lt;</c:v>
                </c:pt>
              </c:strCache>
            </c:strRef>
          </c:cat>
          <c:val>
            <c:numRef>
              <c:f>'Pivot Tables'!$K$6:$K$11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3-DFE5-434B-ACED-BBDD92B9D79C}"/>
            </c:ext>
          </c:extLst>
        </c:ser>
        <c:dLbls>
          <c:dLblPos val="outEnd"/>
          <c:showLegendKey val="0"/>
          <c:showVal val="1"/>
          <c:showCatName val="0"/>
          <c:showSerName val="0"/>
          <c:showPercent val="0"/>
          <c:showBubbleSize val="0"/>
        </c:dLbls>
        <c:gapWidth val="219"/>
        <c:overlap val="-27"/>
        <c:axId val="1038563743"/>
        <c:axId val="1038561247"/>
      </c:barChart>
      <c:catAx>
        <c:axId val="103856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038561247"/>
        <c:crosses val="autoZero"/>
        <c:auto val="1"/>
        <c:lblAlgn val="ctr"/>
        <c:lblOffset val="100"/>
        <c:noMultiLvlLbl val="0"/>
      </c:catAx>
      <c:valAx>
        <c:axId val="1038561247"/>
        <c:scaling>
          <c:orientation val="minMax"/>
        </c:scaling>
        <c:delete val="0"/>
        <c:axPos val="l"/>
        <c:majorGridlines>
          <c:spPr>
            <a:ln w="9525" cap="flat" cmpd="sng" algn="ctr">
              <a:solidFill>
                <a:srgbClr val="E5B244">
                  <a:alpha val="35000"/>
                </a:srgbClr>
              </a:solidFill>
              <a:prstDash val="dash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03856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Tables'!$P$11</c:f>
              <c:numCache>
                <c:formatCode>0%</c:formatCode>
                <c:ptCount val="1"/>
                <c:pt idx="0">
                  <c:v>0.46</c:v>
                </c:pt>
              </c:numCache>
            </c:numRef>
          </c:val>
          <c:extLst>
            <c:ext xmlns:c16="http://schemas.microsoft.com/office/drawing/2014/chart" uri="{C3380CC4-5D6E-409C-BE32-E72D297353CC}">
              <c16:uniqueId val="{00000000-115E-4804-A5F5-3BADD5975B79}"/>
            </c:ext>
          </c:extLst>
        </c:ser>
        <c:ser>
          <c:idx val="1"/>
          <c:order val="1"/>
          <c:spPr>
            <a:solidFill>
              <a:schemeClr val="tx1"/>
            </a:solidFill>
            <a:ln>
              <a:solidFill>
                <a:schemeClr val="tx1"/>
              </a:solidFill>
            </a:ln>
            <a:effectLst/>
          </c:spPr>
          <c:invertIfNegative val="0"/>
          <c:val>
            <c:numRef>
              <c:f>'Pivot Tables'!$Q$11</c:f>
              <c:numCache>
                <c:formatCode>0%</c:formatCode>
                <c:ptCount val="1"/>
                <c:pt idx="0">
                  <c:v>0.54</c:v>
                </c:pt>
              </c:numCache>
            </c:numRef>
          </c:val>
          <c:extLst>
            <c:ext xmlns:c16="http://schemas.microsoft.com/office/drawing/2014/chart" uri="{C3380CC4-5D6E-409C-BE32-E72D297353CC}">
              <c16:uniqueId val="{00000001-115E-4804-A5F5-3BADD5975B79}"/>
            </c:ext>
          </c:extLst>
        </c:ser>
        <c:dLbls>
          <c:showLegendKey val="0"/>
          <c:showVal val="0"/>
          <c:showCatName val="0"/>
          <c:showSerName val="0"/>
          <c:showPercent val="0"/>
          <c:showBubbleSize val="0"/>
        </c:dLbls>
        <c:gapWidth val="150"/>
        <c:overlap val="100"/>
        <c:axId val="1038558335"/>
        <c:axId val="1038563743"/>
      </c:barChart>
      <c:catAx>
        <c:axId val="1038558335"/>
        <c:scaling>
          <c:orientation val="minMax"/>
        </c:scaling>
        <c:delete val="1"/>
        <c:axPos val="l"/>
        <c:majorTickMark val="none"/>
        <c:minorTickMark val="none"/>
        <c:tickLblPos val="nextTo"/>
        <c:crossAx val="1038563743"/>
        <c:crosses val="autoZero"/>
        <c:auto val="1"/>
        <c:lblAlgn val="ctr"/>
        <c:lblOffset val="100"/>
        <c:noMultiLvlLbl val="0"/>
      </c:catAx>
      <c:valAx>
        <c:axId val="1038563743"/>
        <c:scaling>
          <c:orientation val="minMax"/>
        </c:scaling>
        <c:delete val="1"/>
        <c:axPos val="b"/>
        <c:numFmt formatCode="0%" sourceLinked="1"/>
        <c:majorTickMark val="none"/>
        <c:minorTickMark val="none"/>
        <c:tickLblPos val="nextTo"/>
        <c:crossAx val="103855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E5B244"/>
              </a:solidFill>
              <a:ln>
                <a:noFill/>
              </a:ln>
              <a:effectLst/>
            </c:spPr>
            <c:extLst>
              <c:ext xmlns:c16="http://schemas.microsoft.com/office/drawing/2014/chart" uri="{C3380CC4-5D6E-409C-BE32-E72D297353CC}">
                <c16:uniqueId val="{00000003-88B9-4EDF-AD7A-5394EE9BAD2C}"/>
              </c:ext>
            </c:extLst>
          </c:dPt>
          <c:val>
            <c:numRef>
              <c:f>'Pivot Tables'!$P$12</c:f>
              <c:numCache>
                <c:formatCode>0%</c:formatCode>
                <c:ptCount val="1"/>
                <c:pt idx="0">
                  <c:v>0.16</c:v>
                </c:pt>
              </c:numCache>
            </c:numRef>
          </c:val>
          <c:extLst>
            <c:ext xmlns:c16="http://schemas.microsoft.com/office/drawing/2014/chart" uri="{C3380CC4-5D6E-409C-BE32-E72D297353CC}">
              <c16:uniqueId val="{00000000-88B9-4EDF-AD7A-5394EE9BAD2C}"/>
            </c:ext>
          </c:extLst>
        </c:ser>
        <c:ser>
          <c:idx val="1"/>
          <c:order val="1"/>
          <c:spPr>
            <a:solidFill>
              <a:schemeClr val="tx1"/>
            </a:solidFill>
            <a:ln>
              <a:solidFill>
                <a:schemeClr val="tx1"/>
              </a:solidFill>
            </a:ln>
            <a:effectLst/>
          </c:spPr>
          <c:invertIfNegative val="0"/>
          <c:val>
            <c:numRef>
              <c:f>'Pivot Tables'!$Q$12</c:f>
              <c:numCache>
                <c:formatCode>0%</c:formatCode>
                <c:ptCount val="1"/>
                <c:pt idx="0">
                  <c:v>0.84</c:v>
                </c:pt>
              </c:numCache>
            </c:numRef>
          </c:val>
          <c:extLst>
            <c:ext xmlns:c16="http://schemas.microsoft.com/office/drawing/2014/chart" uri="{C3380CC4-5D6E-409C-BE32-E72D297353CC}">
              <c16:uniqueId val="{00000001-88B9-4EDF-AD7A-5394EE9BAD2C}"/>
            </c:ext>
          </c:extLst>
        </c:ser>
        <c:dLbls>
          <c:showLegendKey val="0"/>
          <c:showVal val="0"/>
          <c:showCatName val="0"/>
          <c:showSerName val="0"/>
          <c:showPercent val="0"/>
          <c:showBubbleSize val="0"/>
        </c:dLbls>
        <c:gapWidth val="150"/>
        <c:overlap val="100"/>
        <c:axId val="719212847"/>
        <c:axId val="719214095"/>
      </c:barChart>
      <c:catAx>
        <c:axId val="719212847"/>
        <c:scaling>
          <c:orientation val="minMax"/>
        </c:scaling>
        <c:delete val="1"/>
        <c:axPos val="l"/>
        <c:majorTickMark val="none"/>
        <c:minorTickMark val="none"/>
        <c:tickLblPos val="nextTo"/>
        <c:crossAx val="719214095"/>
        <c:crosses val="autoZero"/>
        <c:auto val="1"/>
        <c:lblAlgn val="ctr"/>
        <c:lblOffset val="100"/>
        <c:noMultiLvlLbl val="0"/>
      </c:catAx>
      <c:valAx>
        <c:axId val="719214095"/>
        <c:scaling>
          <c:orientation val="minMax"/>
        </c:scaling>
        <c:delete val="1"/>
        <c:axPos val="b"/>
        <c:numFmt formatCode="0%" sourceLinked="1"/>
        <c:majorTickMark val="none"/>
        <c:minorTickMark val="none"/>
        <c:tickLblPos val="nextTo"/>
        <c:crossAx val="71921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tx1">
              <a:lumMod val="65000"/>
              <a:lumOff val="35000"/>
            </a:schemeClr>
          </a:solidFill>
          <a:latin typeface="+mn-lt"/>
          <a:ea typeface="+mn-ea"/>
          <a:cs typeface="+mn-cs"/>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E5B244"/>
              </a:solidFill>
              <a:ln>
                <a:noFill/>
              </a:ln>
              <a:effectLst/>
            </c:spPr>
            <c:extLst>
              <c:ext xmlns:c16="http://schemas.microsoft.com/office/drawing/2014/chart" uri="{C3380CC4-5D6E-409C-BE32-E72D297353CC}">
                <c16:uniqueId val="{00000003-B1CC-4029-8160-9567CBA9C536}"/>
              </c:ext>
            </c:extLst>
          </c:dPt>
          <c:val>
            <c:numRef>
              <c:f>'Pivot Tables'!$P$13</c:f>
              <c:numCache>
                <c:formatCode>0%</c:formatCode>
                <c:ptCount val="1"/>
                <c:pt idx="0">
                  <c:v>0.38</c:v>
                </c:pt>
              </c:numCache>
            </c:numRef>
          </c:val>
          <c:extLst>
            <c:ext xmlns:c16="http://schemas.microsoft.com/office/drawing/2014/chart" uri="{C3380CC4-5D6E-409C-BE32-E72D297353CC}">
              <c16:uniqueId val="{00000000-B1CC-4029-8160-9567CBA9C536}"/>
            </c:ext>
          </c:extLst>
        </c:ser>
        <c:ser>
          <c:idx val="1"/>
          <c:order val="1"/>
          <c:spPr>
            <a:solidFill>
              <a:schemeClr val="tx1"/>
            </a:solidFill>
            <a:ln>
              <a:noFill/>
            </a:ln>
            <a:effectLst/>
          </c:spPr>
          <c:invertIfNegative val="0"/>
          <c:val>
            <c:numRef>
              <c:f>'Pivot Tables'!$Q$13</c:f>
              <c:numCache>
                <c:formatCode>0%</c:formatCode>
                <c:ptCount val="1"/>
                <c:pt idx="0">
                  <c:v>0.62</c:v>
                </c:pt>
              </c:numCache>
            </c:numRef>
          </c:val>
          <c:extLst>
            <c:ext xmlns:c16="http://schemas.microsoft.com/office/drawing/2014/chart" uri="{C3380CC4-5D6E-409C-BE32-E72D297353CC}">
              <c16:uniqueId val="{00000001-B1CC-4029-8160-9567CBA9C536}"/>
            </c:ext>
          </c:extLst>
        </c:ser>
        <c:dLbls>
          <c:showLegendKey val="0"/>
          <c:showVal val="0"/>
          <c:showCatName val="0"/>
          <c:showSerName val="0"/>
          <c:showPercent val="0"/>
          <c:showBubbleSize val="0"/>
        </c:dLbls>
        <c:gapWidth val="150"/>
        <c:overlap val="100"/>
        <c:axId val="1205611359"/>
        <c:axId val="1205617183"/>
      </c:barChart>
      <c:catAx>
        <c:axId val="1205611359"/>
        <c:scaling>
          <c:orientation val="minMax"/>
        </c:scaling>
        <c:delete val="1"/>
        <c:axPos val="l"/>
        <c:majorTickMark val="none"/>
        <c:minorTickMark val="none"/>
        <c:tickLblPos val="nextTo"/>
        <c:crossAx val="1205617183"/>
        <c:crosses val="autoZero"/>
        <c:auto val="1"/>
        <c:lblAlgn val="ctr"/>
        <c:lblOffset val="100"/>
        <c:noMultiLvlLbl val="0"/>
      </c:catAx>
      <c:valAx>
        <c:axId val="1205617183"/>
        <c:scaling>
          <c:orientation val="minMax"/>
        </c:scaling>
        <c:delete val="1"/>
        <c:axPos val="b"/>
        <c:numFmt formatCode="0%" sourceLinked="1"/>
        <c:majorTickMark val="none"/>
        <c:minorTickMark val="none"/>
        <c:tickLblPos val="nextTo"/>
        <c:crossAx val="120561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solidFill>
              <a:ln w="19050">
                <a:solidFill>
                  <a:schemeClr val="bg1"/>
                </a:solidFill>
              </a:ln>
              <a:effectLst/>
            </c:spPr>
            <c:extLst>
              <c:ext xmlns:c16="http://schemas.microsoft.com/office/drawing/2014/chart" uri="{C3380CC4-5D6E-409C-BE32-E72D297353CC}">
                <c16:uniqueId val="{00000001-C182-42A0-820F-C3E8BBC82110}"/>
              </c:ext>
            </c:extLst>
          </c:dPt>
          <c:dPt>
            <c:idx val="1"/>
            <c:bubble3D val="0"/>
            <c:spPr>
              <a:solidFill>
                <a:schemeClr val="tx1"/>
              </a:solidFill>
              <a:ln w="19050">
                <a:noFill/>
              </a:ln>
              <a:effectLst/>
            </c:spPr>
            <c:extLst>
              <c:ext xmlns:c16="http://schemas.microsoft.com/office/drawing/2014/chart" uri="{C3380CC4-5D6E-409C-BE32-E72D297353CC}">
                <c16:uniqueId val="{00000003-C182-42A0-820F-C3E8BBC82110}"/>
              </c:ext>
            </c:extLst>
          </c:dPt>
          <c:val>
            <c:numRef>
              <c:f>'Pivot Tables'!$K$20:$L$20</c:f>
              <c:numCache>
                <c:formatCode>0%</c:formatCode>
                <c:ptCount val="2"/>
                <c:pt idx="0">
                  <c:v>0.48</c:v>
                </c:pt>
                <c:pt idx="1">
                  <c:v>0.52</c:v>
                </c:pt>
              </c:numCache>
            </c:numRef>
          </c:val>
          <c:extLst>
            <c:ext xmlns:c16="http://schemas.microsoft.com/office/drawing/2014/chart" uri="{C3380CC4-5D6E-409C-BE32-E72D297353CC}">
              <c16:uniqueId val="{00000004-C182-42A0-820F-C3E8BBC8211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E5B244"/>
              </a:solidFill>
              <a:ln w="19050">
                <a:solidFill>
                  <a:srgbClr val="E5B244"/>
                </a:solidFill>
              </a:ln>
              <a:effectLst/>
            </c:spPr>
            <c:extLst>
              <c:ext xmlns:c16="http://schemas.microsoft.com/office/drawing/2014/chart" uri="{C3380CC4-5D6E-409C-BE32-E72D297353CC}">
                <c16:uniqueId val="{00000001-95F9-439A-870C-BC8C2FFFA73C}"/>
              </c:ext>
            </c:extLst>
          </c:dPt>
          <c:dPt>
            <c:idx val="1"/>
            <c:bubble3D val="0"/>
            <c:spPr>
              <a:solidFill>
                <a:schemeClr val="tx1"/>
              </a:solidFill>
              <a:ln w="19050">
                <a:noFill/>
              </a:ln>
              <a:effectLst/>
            </c:spPr>
            <c:extLst>
              <c:ext xmlns:c16="http://schemas.microsoft.com/office/drawing/2014/chart" uri="{C3380CC4-5D6E-409C-BE32-E72D297353CC}">
                <c16:uniqueId val="{00000003-95F9-439A-870C-BC8C2FFFA73C}"/>
              </c:ext>
            </c:extLst>
          </c:dPt>
          <c:val>
            <c:numRef>
              <c:f>'Pivot Tables'!$K$21:$L$21</c:f>
              <c:numCache>
                <c:formatCode>0%</c:formatCode>
                <c:ptCount val="2"/>
                <c:pt idx="0">
                  <c:v>0.52</c:v>
                </c:pt>
                <c:pt idx="1">
                  <c:v>0.48</c:v>
                </c:pt>
              </c:numCache>
            </c:numRef>
          </c:val>
          <c:extLst>
            <c:ext xmlns:c16="http://schemas.microsoft.com/office/drawing/2014/chart" uri="{C3380CC4-5D6E-409C-BE32-E72D297353CC}">
              <c16:uniqueId val="{00000004-95F9-439A-870C-BC8C2FFFA73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Tables'!$E$13</c:f>
              <c:strCache>
                <c:ptCount val="1"/>
                <c:pt idx="0">
                  <c:v>Analyst</c:v>
                </c:pt>
              </c:strCache>
            </c:strRef>
          </c:tx>
          <c:spPr>
            <a:solidFill>
              <a:srgbClr val="47763E"/>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6="http://schemas.microsoft.com/office/drawing/2014/chart" uri="{C3380CC4-5D6E-409C-BE32-E72D297353CC}">
                  <c16:uniqueId val="{00000008-32F3-434D-9808-8BC88D9A78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Tables'!$G$13</c:f>
              <c:numCache>
                <c:formatCode>_-* #\ ##0_-;\-* #\ ##0_-;_-* "-"??_-;_-@_-</c:formatCode>
                <c:ptCount val="1"/>
                <c:pt idx="0">
                  <c:v>28</c:v>
                </c:pt>
              </c:numCache>
            </c:numRef>
          </c:val>
          <c:extLst>
            <c:ext xmlns:c16="http://schemas.microsoft.com/office/drawing/2014/chart" uri="{C3380CC4-5D6E-409C-BE32-E72D297353CC}">
              <c16:uniqueId val="{00000000-32F3-434D-9808-8BC88D9A7837}"/>
            </c:ext>
          </c:extLst>
        </c:ser>
        <c:ser>
          <c:idx val="1"/>
          <c:order val="1"/>
          <c:tx>
            <c:strRef>
              <c:f>'Pivot Tables'!$E$14</c:f>
              <c:strCache>
                <c:ptCount val="1"/>
                <c:pt idx="0">
                  <c:v>Designer</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Tables'!$G$14</c:f>
              <c:numCache>
                <c:formatCode>_-* #\ ##0_-;\-* #\ ##0_-;_-* "-"??_-;_-@_-</c:formatCode>
                <c:ptCount val="1"/>
                <c:pt idx="0">
                  <c:v>110</c:v>
                </c:pt>
              </c:numCache>
            </c:numRef>
          </c:val>
          <c:extLst>
            <c:ext xmlns:c16="http://schemas.microsoft.com/office/drawing/2014/chart" uri="{C3380CC4-5D6E-409C-BE32-E72D297353CC}">
              <c16:uniqueId val="{00000001-32F3-434D-9808-8BC88D9A7837}"/>
            </c:ext>
          </c:extLst>
        </c:ser>
        <c:ser>
          <c:idx val="2"/>
          <c:order val="2"/>
          <c:tx>
            <c:strRef>
              <c:f>'Pivot Tables'!$E$15</c:f>
              <c:strCache>
                <c:ptCount val="1"/>
                <c:pt idx="0">
                  <c:v>Developer</c:v>
                </c:pt>
              </c:strCache>
            </c:strRef>
          </c:tx>
          <c:spPr>
            <a:solidFill>
              <a:srgbClr val="94BA54"/>
            </a:solidFill>
            <a:ln>
              <a:noFill/>
            </a:ln>
            <a:effectLst/>
          </c:spPr>
          <c:invertIfNegative val="0"/>
          <c:dPt>
            <c:idx val="0"/>
            <c:invertIfNegative val="0"/>
            <c:bubble3D val="0"/>
            <c:spPr>
              <a:solidFill>
                <a:srgbClr val="968A54"/>
              </a:solidFill>
              <a:ln>
                <a:noFill/>
              </a:ln>
              <a:effectLst/>
            </c:spPr>
            <c:extLst>
              <c:ext xmlns:c16="http://schemas.microsoft.com/office/drawing/2014/chart" uri="{C3380CC4-5D6E-409C-BE32-E72D297353CC}">
                <c16:uniqueId val="{00000007-32F3-434D-9808-8BC88D9A7837}"/>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Tables'!$G$15</c:f>
              <c:numCache>
                <c:formatCode>_-* #\ ##0_-;\-* #\ ##0_-;_-* "-"??_-;_-@_-</c:formatCode>
                <c:ptCount val="1"/>
                <c:pt idx="0">
                  <c:v>104</c:v>
                </c:pt>
              </c:numCache>
            </c:numRef>
          </c:val>
          <c:extLst>
            <c:ext xmlns:c16="http://schemas.microsoft.com/office/drawing/2014/chart" uri="{C3380CC4-5D6E-409C-BE32-E72D297353CC}">
              <c16:uniqueId val="{00000002-32F3-434D-9808-8BC88D9A7837}"/>
            </c:ext>
          </c:extLst>
        </c:ser>
        <c:ser>
          <c:idx val="3"/>
          <c:order val="3"/>
          <c:tx>
            <c:strRef>
              <c:f>'Pivot Tables'!$E$16</c:f>
              <c:strCache>
                <c:ptCount val="1"/>
                <c:pt idx="0">
                  <c:v>HR Specialist</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Tables'!$G$16</c:f>
              <c:numCache>
                <c:formatCode>_-* #\ ##0_-;\-* #\ ##0_-;_-* "-"??_-;_-@_-</c:formatCode>
                <c:ptCount val="1"/>
                <c:pt idx="0">
                  <c:v>123</c:v>
                </c:pt>
              </c:numCache>
            </c:numRef>
          </c:val>
          <c:extLst>
            <c:ext xmlns:c16="http://schemas.microsoft.com/office/drawing/2014/chart" uri="{C3380CC4-5D6E-409C-BE32-E72D297353CC}">
              <c16:uniqueId val="{00000003-32F3-434D-9808-8BC88D9A7837}"/>
            </c:ext>
          </c:extLst>
        </c:ser>
        <c:ser>
          <c:idx val="4"/>
          <c:order val="4"/>
          <c:tx>
            <c:strRef>
              <c:f>'Pivot Tables'!$E$17</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Tables'!$G$17</c:f>
              <c:numCache>
                <c:formatCode>_-* #\ ##0_-;\-* #\ ##0_-;_-* "-"??_-;_-@_-</c:formatCode>
                <c:ptCount val="1"/>
                <c:pt idx="0">
                  <c:v>122</c:v>
                </c:pt>
              </c:numCache>
            </c:numRef>
          </c:val>
          <c:extLst>
            <c:ext xmlns:c16="http://schemas.microsoft.com/office/drawing/2014/chart" uri="{C3380CC4-5D6E-409C-BE32-E72D297353CC}">
              <c16:uniqueId val="{00000004-32F3-434D-9808-8BC88D9A7837}"/>
            </c:ext>
          </c:extLst>
        </c:ser>
        <c:dLbls>
          <c:showLegendKey val="0"/>
          <c:showVal val="1"/>
          <c:showCatName val="0"/>
          <c:showSerName val="0"/>
          <c:showPercent val="0"/>
          <c:showBubbleSize val="0"/>
        </c:dLbls>
        <c:gapWidth val="219"/>
        <c:overlap val="-27"/>
        <c:axId val="870510575"/>
        <c:axId val="870513487"/>
      </c:barChart>
      <c:catAx>
        <c:axId val="870510575"/>
        <c:scaling>
          <c:orientation val="minMax"/>
        </c:scaling>
        <c:delete val="1"/>
        <c:axPos val="b"/>
        <c:numFmt formatCode="General" sourceLinked="1"/>
        <c:majorTickMark val="none"/>
        <c:minorTickMark val="none"/>
        <c:tickLblPos val="nextTo"/>
        <c:crossAx val="870513487"/>
        <c:crosses val="autoZero"/>
        <c:auto val="1"/>
        <c:lblAlgn val="ctr"/>
        <c:lblOffset val="100"/>
        <c:noMultiLvlLbl val="0"/>
      </c:catAx>
      <c:valAx>
        <c:axId val="870513487"/>
        <c:scaling>
          <c:orientation val="minMax"/>
        </c:scaling>
        <c:delete val="1"/>
        <c:axPos val="l"/>
        <c:majorGridlines>
          <c:spPr>
            <a:ln w="9525" cap="rnd" cmpd="sng" algn="ctr">
              <a:solidFill>
                <a:srgbClr val="E5B244">
                  <a:alpha val="35000"/>
                </a:srgbClr>
              </a:solidFill>
              <a:prstDash val="lgDashDotDot"/>
              <a:round/>
            </a:ln>
            <a:effectLst/>
          </c:spPr>
        </c:majorGridlines>
        <c:numFmt formatCode="_-* #\ ##0_-;\-* #\ ##0_-;_-* &quot;-&quot;??_-;_-@_-" sourceLinked="1"/>
        <c:majorTickMark val="none"/>
        <c:minorTickMark val="none"/>
        <c:tickLblPos val="nextTo"/>
        <c:crossAx val="870510575"/>
        <c:crosses val="autoZero"/>
        <c:crossBetween val="between"/>
      </c:valAx>
      <c:spPr>
        <a:noFill/>
        <a:ln>
          <a:noFill/>
        </a:ln>
        <a:effectLst/>
      </c:spPr>
    </c:plotArea>
    <c:legend>
      <c:legendPos val="b"/>
      <c:layout>
        <c:manualLayout>
          <c:xMode val="edge"/>
          <c:yMode val="edge"/>
          <c:x val="7.9249218770331489E-2"/>
          <c:y val="0.77309493523959716"/>
          <c:w val="0.92075078122966847"/>
          <c:h val="0.196448202229730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Tables!PivotTable7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Tables'!$W$4</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Tables'!$V$5:$V$10</c:f>
              <c:strCache>
                <c:ptCount val="5"/>
                <c:pt idx="0">
                  <c:v>Central</c:v>
                </c:pt>
                <c:pt idx="1">
                  <c:v>East</c:v>
                </c:pt>
                <c:pt idx="2">
                  <c:v>North</c:v>
                </c:pt>
                <c:pt idx="3">
                  <c:v>South</c:v>
                </c:pt>
                <c:pt idx="4">
                  <c:v>West</c:v>
                </c:pt>
              </c:strCache>
            </c:strRef>
          </c:cat>
          <c:val>
            <c:numRef>
              <c:f>'Pivot Tables'!$W$5:$W$10</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3298-442E-B864-0D0639E825E9}"/>
            </c:ext>
          </c:extLst>
        </c:ser>
        <c:dLbls>
          <c:showLegendKey val="0"/>
          <c:showVal val="0"/>
          <c:showCatName val="0"/>
          <c:showSerName val="0"/>
          <c:showPercent val="0"/>
          <c:showBubbleSize val="0"/>
        </c:dLbls>
        <c:gapWidth val="25"/>
        <c:axId val="1378792895"/>
        <c:axId val="1378781247"/>
      </c:barChart>
      <c:catAx>
        <c:axId val="137879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fr-FR"/>
          </a:p>
        </c:txPr>
        <c:crossAx val="1378781247"/>
        <c:crosses val="autoZero"/>
        <c:auto val="1"/>
        <c:lblAlgn val="ctr"/>
        <c:lblOffset val="100"/>
        <c:noMultiLvlLbl val="0"/>
      </c:catAx>
      <c:valAx>
        <c:axId val="1378781247"/>
        <c:scaling>
          <c:orientation val="minMax"/>
        </c:scaling>
        <c:delete val="1"/>
        <c:axPos val="b"/>
        <c:numFmt formatCode="General" sourceLinked="1"/>
        <c:majorTickMark val="none"/>
        <c:minorTickMark val="none"/>
        <c:tickLblPos val="nextTo"/>
        <c:crossAx val="137879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724500</xdr:colOff>
      <xdr:row>36</xdr:row>
      <xdr:rowOff>13500</xdr:rowOff>
    </xdr:to>
    <xdr:sp macro="" textlink="">
      <xdr:nvSpPr>
        <xdr:cNvPr id="2" name="Rectangle 1">
          <a:extLst>
            <a:ext uri="{FF2B5EF4-FFF2-40B4-BE49-F238E27FC236}">
              <a16:creationId xmlns:a16="http://schemas.microsoft.com/office/drawing/2014/main" id="{488EF045-DA6B-4E9A-B585-96103FD26FB6}"/>
            </a:ext>
          </a:extLst>
        </xdr:cNvPr>
        <xdr:cNvSpPr/>
      </xdr:nvSpPr>
      <xdr:spPr>
        <a:xfrm>
          <a:off x="0" y="0"/>
          <a:ext cx="10478100" cy="6414300"/>
        </a:xfrm>
        <a:prstGeom prst="rect">
          <a:avLst/>
        </a:prstGeom>
        <a:solidFill>
          <a:schemeClr val="tx1">
            <a:lumMod val="95000"/>
            <a:lumOff val="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12700</xdr:colOff>
      <xdr:row>21</xdr:row>
      <xdr:rowOff>42334</xdr:rowOff>
    </xdr:from>
    <xdr:to>
      <xdr:col>9</xdr:col>
      <xdr:colOff>279400</xdr:colOff>
      <xdr:row>35</xdr:row>
      <xdr:rowOff>25400</xdr:rowOff>
    </xdr:to>
    <xdr:sp macro="" textlink="">
      <xdr:nvSpPr>
        <xdr:cNvPr id="7" name="Rectangle : coins arrondis 6">
          <a:extLst>
            <a:ext uri="{FF2B5EF4-FFF2-40B4-BE49-F238E27FC236}">
              <a16:creationId xmlns:a16="http://schemas.microsoft.com/office/drawing/2014/main" id="{B1484F15-A474-4589-89F2-17B2878AB613}"/>
            </a:ext>
          </a:extLst>
        </xdr:cNvPr>
        <xdr:cNvSpPr/>
      </xdr:nvSpPr>
      <xdr:spPr>
        <a:xfrm flipV="1">
          <a:off x="4902200" y="3926417"/>
          <a:ext cx="2711450" cy="2501900"/>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677333</xdr:colOff>
      <xdr:row>33</xdr:row>
      <xdr:rowOff>52916</xdr:rowOff>
    </xdr:from>
    <xdr:to>
      <xdr:col>9</xdr:col>
      <xdr:colOff>127500</xdr:colOff>
      <xdr:row>34</xdr:row>
      <xdr:rowOff>124999</xdr:rowOff>
    </xdr:to>
    <xdr:sp macro="" textlink="">
      <xdr:nvSpPr>
        <xdr:cNvPr id="8" name="Rectangle 7">
          <a:extLst>
            <a:ext uri="{FF2B5EF4-FFF2-40B4-BE49-F238E27FC236}">
              <a16:creationId xmlns:a16="http://schemas.microsoft.com/office/drawing/2014/main" id="{CDF23467-13B6-4CF5-B4B5-BBE8AF23C830}"/>
            </a:ext>
          </a:extLst>
        </xdr:cNvPr>
        <xdr:cNvSpPr/>
      </xdr:nvSpPr>
      <xdr:spPr>
        <a:xfrm>
          <a:off x="6381750" y="6095999"/>
          <a:ext cx="1080000" cy="25200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677333</xdr:colOff>
      <xdr:row>31</xdr:row>
      <xdr:rowOff>107356</xdr:rowOff>
    </xdr:from>
    <xdr:to>
      <xdr:col>9</xdr:col>
      <xdr:colOff>127500</xdr:colOff>
      <xdr:row>32</xdr:row>
      <xdr:rowOff>179439</xdr:rowOff>
    </xdr:to>
    <xdr:sp macro="" textlink="">
      <xdr:nvSpPr>
        <xdr:cNvPr id="68" name="Rectangle 67">
          <a:extLst>
            <a:ext uri="{FF2B5EF4-FFF2-40B4-BE49-F238E27FC236}">
              <a16:creationId xmlns:a16="http://schemas.microsoft.com/office/drawing/2014/main" id="{84E23480-B355-44CC-BED9-947293E1B0A1}"/>
            </a:ext>
          </a:extLst>
        </xdr:cNvPr>
        <xdr:cNvSpPr/>
      </xdr:nvSpPr>
      <xdr:spPr>
        <a:xfrm>
          <a:off x="6381750" y="5790606"/>
          <a:ext cx="1080000" cy="25200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692149</xdr:colOff>
      <xdr:row>29</xdr:row>
      <xdr:rowOff>161796</xdr:rowOff>
    </xdr:from>
    <xdr:to>
      <xdr:col>9</xdr:col>
      <xdr:colOff>142316</xdr:colOff>
      <xdr:row>31</xdr:row>
      <xdr:rowOff>53963</xdr:rowOff>
    </xdr:to>
    <xdr:sp macro="" textlink="">
      <xdr:nvSpPr>
        <xdr:cNvPr id="69" name="Rectangle 68">
          <a:extLst>
            <a:ext uri="{FF2B5EF4-FFF2-40B4-BE49-F238E27FC236}">
              <a16:creationId xmlns:a16="http://schemas.microsoft.com/office/drawing/2014/main" id="{415A8C3E-AA5D-4567-95CC-79E75E22755E}"/>
            </a:ext>
          </a:extLst>
        </xdr:cNvPr>
        <xdr:cNvSpPr/>
      </xdr:nvSpPr>
      <xdr:spPr>
        <a:xfrm>
          <a:off x="6396566" y="5485213"/>
          <a:ext cx="1080000" cy="25200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696382</xdr:colOff>
      <xdr:row>28</xdr:row>
      <xdr:rowOff>36320</xdr:rowOff>
    </xdr:from>
    <xdr:to>
      <xdr:col>9</xdr:col>
      <xdr:colOff>146549</xdr:colOff>
      <xdr:row>29</xdr:row>
      <xdr:rowOff>108403</xdr:rowOff>
    </xdr:to>
    <xdr:sp macro="" textlink="">
      <xdr:nvSpPr>
        <xdr:cNvPr id="70" name="Rectangle 69">
          <a:extLst>
            <a:ext uri="{FF2B5EF4-FFF2-40B4-BE49-F238E27FC236}">
              <a16:creationId xmlns:a16="http://schemas.microsoft.com/office/drawing/2014/main" id="{026B2B64-06C9-459A-B8C7-6E594A7D8E99}"/>
            </a:ext>
          </a:extLst>
        </xdr:cNvPr>
        <xdr:cNvSpPr/>
      </xdr:nvSpPr>
      <xdr:spPr>
        <a:xfrm>
          <a:off x="6400799" y="5179820"/>
          <a:ext cx="1080000" cy="25200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690106</xdr:colOff>
      <xdr:row>26</xdr:row>
      <xdr:rowOff>122510</xdr:rowOff>
    </xdr:from>
    <xdr:to>
      <xdr:col>9</xdr:col>
      <xdr:colOff>161365</xdr:colOff>
      <xdr:row>27</xdr:row>
      <xdr:rowOff>163129</xdr:rowOff>
    </xdr:to>
    <xdr:sp macro="" textlink="">
      <xdr:nvSpPr>
        <xdr:cNvPr id="71" name="Rectangle 70">
          <a:extLst>
            <a:ext uri="{FF2B5EF4-FFF2-40B4-BE49-F238E27FC236}">
              <a16:creationId xmlns:a16="http://schemas.microsoft.com/office/drawing/2014/main" id="{CAC9D416-BDC4-4A5A-8D98-19EA7EB84C72}"/>
            </a:ext>
          </a:extLst>
        </xdr:cNvPr>
        <xdr:cNvSpPr/>
      </xdr:nvSpPr>
      <xdr:spPr>
        <a:xfrm>
          <a:off x="6394523" y="4906177"/>
          <a:ext cx="1101092" cy="220535"/>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694265</xdr:colOff>
      <xdr:row>24</xdr:row>
      <xdr:rowOff>145201</xdr:rowOff>
    </xdr:from>
    <xdr:to>
      <xdr:col>9</xdr:col>
      <xdr:colOff>144432</xdr:colOff>
      <xdr:row>26</xdr:row>
      <xdr:rowOff>37367</xdr:rowOff>
    </xdr:to>
    <xdr:sp macro="" textlink="">
      <xdr:nvSpPr>
        <xdr:cNvPr id="72" name="Rectangle 71">
          <a:extLst>
            <a:ext uri="{FF2B5EF4-FFF2-40B4-BE49-F238E27FC236}">
              <a16:creationId xmlns:a16="http://schemas.microsoft.com/office/drawing/2014/main" id="{304EED1D-1E2E-4A25-B5D1-5E091498B607}"/>
            </a:ext>
          </a:extLst>
        </xdr:cNvPr>
        <xdr:cNvSpPr/>
      </xdr:nvSpPr>
      <xdr:spPr>
        <a:xfrm>
          <a:off x="6398682" y="4569034"/>
          <a:ext cx="1080000" cy="252000"/>
        </a:xfrm>
        <a:prstGeom prst="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69850</xdr:colOff>
      <xdr:row>23</xdr:row>
      <xdr:rowOff>63500</xdr:rowOff>
    </xdr:from>
    <xdr:to>
      <xdr:col>2</xdr:col>
      <xdr:colOff>369183</xdr:colOff>
      <xdr:row>35</xdr:row>
      <xdr:rowOff>66698</xdr:rowOff>
    </xdr:to>
    <xdr:sp macro="" textlink="">
      <xdr:nvSpPr>
        <xdr:cNvPr id="3" name="Rectangle : coins arrondis 2">
          <a:extLst>
            <a:ext uri="{FF2B5EF4-FFF2-40B4-BE49-F238E27FC236}">
              <a16:creationId xmlns:a16="http://schemas.microsoft.com/office/drawing/2014/main" id="{E28B86AD-8665-4C20-9DD6-A2A5009961DB}"/>
            </a:ext>
          </a:extLst>
        </xdr:cNvPr>
        <xdr:cNvSpPr/>
      </xdr:nvSpPr>
      <xdr:spPr>
        <a:xfrm flipV="1">
          <a:off x="69850" y="4307417"/>
          <a:ext cx="1929166" cy="2162198"/>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69851</xdr:colOff>
      <xdr:row>6</xdr:row>
      <xdr:rowOff>31750</xdr:rowOff>
    </xdr:from>
    <xdr:to>
      <xdr:col>2</xdr:col>
      <xdr:colOff>369184</xdr:colOff>
      <xdr:row>22</xdr:row>
      <xdr:rowOff>158746</xdr:rowOff>
    </xdr:to>
    <xdr:sp macro="" textlink="">
      <xdr:nvSpPr>
        <xdr:cNvPr id="4" name="Rectangle : coins arrondis 3">
          <a:extLst>
            <a:ext uri="{FF2B5EF4-FFF2-40B4-BE49-F238E27FC236}">
              <a16:creationId xmlns:a16="http://schemas.microsoft.com/office/drawing/2014/main" id="{730FB9D4-FFC0-40C4-87FD-898CE0B4A211}"/>
            </a:ext>
          </a:extLst>
        </xdr:cNvPr>
        <xdr:cNvSpPr/>
      </xdr:nvSpPr>
      <xdr:spPr>
        <a:xfrm flipV="1">
          <a:off x="69851" y="1111250"/>
          <a:ext cx="1929166" cy="3111496"/>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431800</xdr:colOff>
      <xdr:row>21</xdr:row>
      <xdr:rowOff>52916</xdr:rowOff>
    </xdr:from>
    <xdr:to>
      <xdr:col>5</xdr:col>
      <xdr:colOff>736600</xdr:colOff>
      <xdr:row>35</xdr:row>
      <xdr:rowOff>63497</xdr:rowOff>
    </xdr:to>
    <xdr:sp macro="" textlink="">
      <xdr:nvSpPr>
        <xdr:cNvPr id="5" name="Rectangle : coins arrondis 4">
          <a:extLst>
            <a:ext uri="{FF2B5EF4-FFF2-40B4-BE49-F238E27FC236}">
              <a16:creationId xmlns:a16="http://schemas.microsoft.com/office/drawing/2014/main" id="{DE86A1C2-2285-4F4B-BE28-35D94C5454E3}"/>
            </a:ext>
          </a:extLst>
        </xdr:cNvPr>
        <xdr:cNvSpPr/>
      </xdr:nvSpPr>
      <xdr:spPr>
        <a:xfrm flipV="1">
          <a:off x="2061633" y="3936999"/>
          <a:ext cx="2749550" cy="2529415"/>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63500</xdr:colOff>
      <xdr:row>6</xdr:row>
      <xdr:rowOff>74083</xdr:rowOff>
    </xdr:from>
    <xdr:to>
      <xdr:col>9</xdr:col>
      <xdr:colOff>241300</xdr:colOff>
      <xdr:row>20</xdr:row>
      <xdr:rowOff>122764</xdr:rowOff>
    </xdr:to>
    <xdr:sp macro="" textlink="">
      <xdr:nvSpPr>
        <xdr:cNvPr id="9" name="Rectangle : coins arrondis 8">
          <a:extLst>
            <a:ext uri="{FF2B5EF4-FFF2-40B4-BE49-F238E27FC236}">
              <a16:creationId xmlns:a16="http://schemas.microsoft.com/office/drawing/2014/main" id="{EC3F26CE-629B-47A5-8901-521B27BACAE4}"/>
            </a:ext>
          </a:extLst>
        </xdr:cNvPr>
        <xdr:cNvSpPr/>
      </xdr:nvSpPr>
      <xdr:spPr>
        <a:xfrm flipV="1">
          <a:off x="4953000" y="1153583"/>
          <a:ext cx="2622550" cy="2673348"/>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548217</xdr:colOff>
      <xdr:row>6</xdr:row>
      <xdr:rowOff>109880</xdr:rowOff>
    </xdr:from>
    <xdr:to>
      <xdr:col>5</xdr:col>
      <xdr:colOff>700617</xdr:colOff>
      <xdr:row>13</xdr:row>
      <xdr:rowOff>116415</xdr:rowOff>
    </xdr:to>
    <xdr:sp macro="" textlink="">
      <xdr:nvSpPr>
        <xdr:cNvPr id="10" name="Rectangle : coins arrondis 9">
          <a:extLst>
            <a:ext uri="{FF2B5EF4-FFF2-40B4-BE49-F238E27FC236}">
              <a16:creationId xmlns:a16="http://schemas.microsoft.com/office/drawing/2014/main" id="{6F1CFF49-E7F3-4AF3-812C-7376674E73CA}"/>
            </a:ext>
          </a:extLst>
        </xdr:cNvPr>
        <xdr:cNvSpPr/>
      </xdr:nvSpPr>
      <xdr:spPr>
        <a:xfrm flipV="1">
          <a:off x="2178050" y="1189380"/>
          <a:ext cx="2597150" cy="1265952"/>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546099</xdr:colOff>
      <xdr:row>13</xdr:row>
      <xdr:rowOff>253999</xdr:rowOff>
    </xdr:from>
    <xdr:to>
      <xdr:col>4</xdr:col>
      <xdr:colOff>137582</xdr:colOff>
      <xdr:row>20</xdr:row>
      <xdr:rowOff>133848</xdr:rowOff>
    </xdr:to>
    <xdr:sp macro="" textlink="">
      <xdr:nvSpPr>
        <xdr:cNvPr id="11" name="Rectangle : coins arrondis 10">
          <a:extLst>
            <a:ext uri="{FF2B5EF4-FFF2-40B4-BE49-F238E27FC236}">
              <a16:creationId xmlns:a16="http://schemas.microsoft.com/office/drawing/2014/main" id="{D16334F6-2113-4097-BAEF-BBE1BAC78E79}"/>
            </a:ext>
          </a:extLst>
        </xdr:cNvPr>
        <xdr:cNvSpPr/>
      </xdr:nvSpPr>
      <xdr:spPr>
        <a:xfrm flipV="1">
          <a:off x="2175932" y="2592916"/>
          <a:ext cx="1221317" cy="1245099"/>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4</xdr:col>
      <xdr:colOff>258232</xdr:colOff>
      <xdr:row>13</xdr:row>
      <xdr:rowOff>254000</xdr:rowOff>
    </xdr:from>
    <xdr:to>
      <xdr:col>5</xdr:col>
      <xdr:colOff>677333</xdr:colOff>
      <xdr:row>20</xdr:row>
      <xdr:rowOff>140200</xdr:rowOff>
    </xdr:to>
    <xdr:sp macro="" textlink="">
      <xdr:nvSpPr>
        <xdr:cNvPr id="12" name="Rectangle : coins arrondis 11">
          <a:extLst>
            <a:ext uri="{FF2B5EF4-FFF2-40B4-BE49-F238E27FC236}">
              <a16:creationId xmlns:a16="http://schemas.microsoft.com/office/drawing/2014/main" id="{9B234E2A-9A71-45A1-A8EB-242134EF4B63}"/>
            </a:ext>
          </a:extLst>
        </xdr:cNvPr>
        <xdr:cNvSpPr/>
      </xdr:nvSpPr>
      <xdr:spPr>
        <a:xfrm flipV="1">
          <a:off x="3517899" y="2592917"/>
          <a:ext cx="1234017" cy="1251450"/>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9</xdr:col>
      <xdr:colOff>442685</xdr:colOff>
      <xdr:row>22</xdr:row>
      <xdr:rowOff>137583</xdr:rowOff>
    </xdr:from>
    <xdr:to>
      <xdr:col>12</xdr:col>
      <xdr:colOff>592666</xdr:colOff>
      <xdr:row>35</xdr:row>
      <xdr:rowOff>25400</xdr:rowOff>
    </xdr:to>
    <xdr:grpSp>
      <xdr:nvGrpSpPr>
        <xdr:cNvPr id="17" name="Groupe 16">
          <a:extLst>
            <a:ext uri="{FF2B5EF4-FFF2-40B4-BE49-F238E27FC236}">
              <a16:creationId xmlns:a16="http://schemas.microsoft.com/office/drawing/2014/main" id="{0844893D-4339-4FC8-A9D2-07ED5026F4AE}"/>
            </a:ext>
          </a:extLst>
        </xdr:cNvPr>
        <xdr:cNvGrpSpPr/>
      </xdr:nvGrpSpPr>
      <xdr:grpSpPr>
        <a:xfrm>
          <a:off x="7776935" y="4201583"/>
          <a:ext cx="2594731" cy="2226734"/>
          <a:chOff x="7790543" y="4073070"/>
          <a:chExt cx="2282871" cy="2302330"/>
        </a:xfrm>
      </xdr:grpSpPr>
      <xdr:sp macro="" textlink="">
        <xdr:nvSpPr>
          <xdr:cNvPr id="13" name="Rectangle : coins arrondis 12">
            <a:extLst>
              <a:ext uri="{FF2B5EF4-FFF2-40B4-BE49-F238E27FC236}">
                <a16:creationId xmlns:a16="http://schemas.microsoft.com/office/drawing/2014/main" id="{90AC6FA9-3B50-4FAF-8336-B3117D763D0F}"/>
              </a:ext>
            </a:extLst>
          </xdr:cNvPr>
          <xdr:cNvSpPr/>
        </xdr:nvSpPr>
        <xdr:spPr>
          <a:xfrm flipV="1">
            <a:off x="7790543" y="5273628"/>
            <a:ext cx="1087257" cy="1101772"/>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5" name="Rectangle : coins arrondis 14">
            <a:extLst>
              <a:ext uri="{FF2B5EF4-FFF2-40B4-BE49-F238E27FC236}">
                <a16:creationId xmlns:a16="http://schemas.microsoft.com/office/drawing/2014/main" id="{20CC6412-65F3-4306-9192-98505CECE852}"/>
              </a:ext>
            </a:extLst>
          </xdr:cNvPr>
          <xdr:cNvSpPr/>
        </xdr:nvSpPr>
        <xdr:spPr>
          <a:xfrm flipV="1">
            <a:off x="8989785" y="5273629"/>
            <a:ext cx="1083629" cy="1101771"/>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6" name="Rectangle : coins arrondis 15">
            <a:extLst>
              <a:ext uri="{FF2B5EF4-FFF2-40B4-BE49-F238E27FC236}">
                <a16:creationId xmlns:a16="http://schemas.microsoft.com/office/drawing/2014/main" id="{CF881AAE-9AE2-4A27-A405-C54922799C0A}"/>
              </a:ext>
            </a:extLst>
          </xdr:cNvPr>
          <xdr:cNvSpPr/>
        </xdr:nvSpPr>
        <xdr:spPr>
          <a:xfrm flipV="1">
            <a:off x="8987972" y="4073070"/>
            <a:ext cx="1083629" cy="1101772"/>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9</xdr:col>
      <xdr:colOff>338667</xdr:colOff>
      <xdr:row>11</xdr:row>
      <xdr:rowOff>125489</xdr:rowOff>
    </xdr:from>
    <xdr:to>
      <xdr:col>12</xdr:col>
      <xdr:colOff>520184</xdr:colOff>
      <xdr:row>20</xdr:row>
      <xdr:rowOff>148631</xdr:rowOff>
    </xdr:to>
    <xdr:sp macro="" textlink="">
      <xdr:nvSpPr>
        <xdr:cNvPr id="18" name="Rectangle : coins arrondis 17">
          <a:extLst>
            <a:ext uri="{FF2B5EF4-FFF2-40B4-BE49-F238E27FC236}">
              <a16:creationId xmlns:a16="http://schemas.microsoft.com/office/drawing/2014/main" id="{4A88FA92-4838-4992-85F6-9C1C6FC2FB4F}"/>
            </a:ext>
          </a:extLst>
        </xdr:cNvPr>
        <xdr:cNvSpPr/>
      </xdr:nvSpPr>
      <xdr:spPr>
        <a:xfrm flipV="1">
          <a:off x="7672917" y="2104572"/>
          <a:ext cx="2626267" cy="1748226"/>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9</xdr:col>
      <xdr:colOff>317500</xdr:colOff>
      <xdr:row>2</xdr:row>
      <xdr:rowOff>1209</xdr:rowOff>
    </xdr:from>
    <xdr:to>
      <xdr:col>12</xdr:col>
      <xdr:colOff>507786</xdr:colOff>
      <xdr:row>11</xdr:row>
      <xdr:rowOff>22840</xdr:rowOff>
    </xdr:to>
    <xdr:sp macro="" textlink="">
      <xdr:nvSpPr>
        <xdr:cNvPr id="19" name="Rectangle : coins arrondis 18">
          <a:extLst>
            <a:ext uri="{FF2B5EF4-FFF2-40B4-BE49-F238E27FC236}">
              <a16:creationId xmlns:a16="http://schemas.microsoft.com/office/drawing/2014/main" id="{5AF16BEF-4ACF-48A0-9BE7-02D0E7AAD49E}"/>
            </a:ext>
          </a:extLst>
        </xdr:cNvPr>
        <xdr:cNvSpPr/>
      </xdr:nvSpPr>
      <xdr:spPr>
        <a:xfrm flipV="1">
          <a:off x="7651750" y="361042"/>
          <a:ext cx="2635036" cy="1640881"/>
        </a:xfrm>
        <a:prstGeom prst="roundRect">
          <a:avLst/>
        </a:prstGeom>
        <a:solidFill>
          <a:schemeClr val="tx1">
            <a:lumMod val="85000"/>
            <a:lumOff val="1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11</xdr:col>
      <xdr:colOff>190500</xdr:colOff>
      <xdr:row>23</xdr:row>
      <xdr:rowOff>10582</xdr:rowOff>
    </xdr:from>
    <xdr:to>
      <xdr:col>12</xdr:col>
      <xdr:colOff>560917</xdr:colOff>
      <xdr:row>26</xdr:row>
      <xdr:rowOff>126998</xdr:rowOff>
    </xdr:to>
    <xdr:sp macro="" textlink="">
      <xdr:nvSpPr>
        <xdr:cNvPr id="6" name="TextBox 5">
          <a:extLst>
            <a:ext uri="{FF2B5EF4-FFF2-40B4-BE49-F238E27FC236}">
              <a16:creationId xmlns:a16="http://schemas.microsoft.com/office/drawing/2014/main" id="{4AD978E3-AD42-42A9-9B89-332BBE2EF8F3}"/>
            </a:ext>
          </a:extLst>
        </xdr:cNvPr>
        <xdr:cNvSpPr txBox="1"/>
      </xdr:nvSpPr>
      <xdr:spPr>
        <a:xfrm>
          <a:off x="9154583" y="4254499"/>
          <a:ext cx="1185334"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200">
              <a:solidFill>
                <a:schemeClr val="bg1"/>
              </a:solidFill>
              <a:latin typeface="+mn-lt"/>
              <a:ea typeface="+mn-ea"/>
              <a:cs typeface="+mn-cs"/>
            </a:rPr>
            <a:t>Part</a:t>
          </a:r>
          <a:r>
            <a:rPr lang="fr-FR" sz="1200">
              <a:solidFill>
                <a:schemeClr val="bg1"/>
              </a:solidFill>
            </a:rPr>
            <a:t> Time Employees</a:t>
          </a:r>
        </a:p>
      </xdr:txBody>
    </xdr:sp>
    <xdr:clientData/>
  </xdr:twoCellAnchor>
  <xdr:twoCellAnchor>
    <xdr:from>
      <xdr:col>11</xdr:col>
      <xdr:colOff>762000</xdr:colOff>
      <xdr:row>25</xdr:row>
      <xdr:rowOff>52917</xdr:rowOff>
    </xdr:from>
    <xdr:to>
      <xdr:col>12</xdr:col>
      <xdr:colOff>793749</xdr:colOff>
      <xdr:row>28</xdr:row>
      <xdr:rowOff>169333</xdr:rowOff>
    </xdr:to>
    <xdr:sp macro="" textlink="'Pivot Tables'!C13">
      <xdr:nvSpPr>
        <xdr:cNvPr id="21" name="TextBox 20">
          <a:extLst>
            <a:ext uri="{FF2B5EF4-FFF2-40B4-BE49-F238E27FC236}">
              <a16:creationId xmlns:a16="http://schemas.microsoft.com/office/drawing/2014/main" id="{43538F4C-A6FF-4A46-BBAE-3E93CAA72651}"/>
            </a:ext>
          </a:extLst>
        </xdr:cNvPr>
        <xdr:cNvSpPr txBox="1"/>
      </xdr:nvSpPr>
      <xdr:spPr>
        <a:xfrm>
          <a:off x="9726083" y="4656667"/>
          <a:ext cx="846666"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A23928-9E09-4AEE-B560-22960C09F394}" type="TxLink">
            <a:rPr lang="en-US" sz="3200" b="1" i="0" u="none" strike="noStrike">
              <a:solidFill>
                <a:schemeClr val="bg1"/>
              </a:solidFill>
              <a:latin typeface="Aptos Narrow"/>
            </a:rPr>
            <a:t>13</a:t>
          </a:fld>
          <a:endParaRPr lang="fr-FR" sz="4000" b="1">
            <a:solidFill>
              <a:schemeClr val="bg1"/>
            </a:solidFill>
          </a:endParaRPr>
        </a:p>
      </xdr:txBody>
    </xdr:sp>
    <xdr:clientData/>
  </xdr:twoCellAnchor>
  <xdr:twoCellAnchor>
    <xdr:from>
      <xdr:col>11</xdr:col>
      <xdr:colOff>209852</xdr:colOff>
      <xdr:row>29</xdr:row>
      <xdr:rowOff>105833</xdr:rowOff>
    </xdr:from>
    <xdr:to>
      <xdr:col>12</xdr:col>
      <xdr:colOff>580269</xdr:colOff>
      <xdr:row>33</xdr:row>
      <xdr:rowOff>42333</xdr:rowOff>
    </xdr:to>
    <xdr:sp macro="" textlink="">
      <xdr:nvSpPr>
        <xdr:cNvPr id="22" name="TextBox 21">
          <a:extLst>
            <a:ext uri="{FF2B5EF4-FFF2-40B4-BE49-F238E27FC236}">
              <a16:creationId xmlns:a16="http://schemas.microsoft.com/office/drawing/2014/main" id="{D494D680-53B9-49A2-B5B8-7F9202914D49}"/>
            </a:ext>
          </a:extLst>
        </xdr:cNvPr>
        <xdr:cNvSpPr txBox="1"/>
      </xdr:nvSpPr>
      <xdr:spPr>
        <a:xfrm>
          <a:off x="9173935" y="5429250"/>
          <a:ext cx="1185334"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fr-FR" sz="1200">
              <a:solidFill>
                <a:schemeClr val="bg1"/>
              </a:solidFill>
              <a:latin typeface="+mn-lt"/>
              <a:ea typeface="+mn-ea"/>
              <a:cs typeface="+mn-cs"/>
            </a:rPr>
            <a:t>Full Time Employees</a:t>
          </a:r>
        </a:p>
      </xdr:txBody>
    </xdr:sp>
    <xdr:clientData/>
  </xdr:twoCellAnchor>
  <xdr:twoCellAnchor>
    <xdr:from>
      <xdr:col>11</xdr:col>
      <xdr:colOff>739018</xdr:colOff>
      <xdr:row>31</xdr:row>
      <xdr:rowOff>137583</xdr:rowOff>
    </xdr:from>
    <xdr:to>
      <xdr:col>12</xdr:col>
      <xdr:colOff>770767</xdr:colOff>
      <xdr:row>35</xdr:row>
      <xdr:rowOff>74082</xdr:rowOff>
    </xdr:to>
    <xdr:sp macro="" textlink="'Pivot Tables'!C12">
      <xdr:nvSpPr>
        <xdr:cNvPr id="23" name="TextBox 22">
          <a:extLst>
            <a:ext uri="{FF2B5EF4-FFF2-40B4-BE49-F238E27FC236}">
              <a16:creationId xmlns:a16="http://schemas.microsoft.com/office/drawing/2014/main" id="{98E08991-AB12-46AA-AA91-697432A0A633}"/>
            </a:ext>
          </a:extLst>
        </xdr:cNvPr>
        <xdr:cNvSpPr txBox="1"/>
      </xdr:nvSpPr>
      <xdr:spPr>
        <a:xfrm>
          <a:off x="9703101" y="5820833"/>
          <a:ext cx="846666"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3B3448-5400-4885-844B-E98B8F8961C8}" type="TxLink">
            <a:rPr lang="en-US" sz="3200" b="1" i="0" u="none" strike="noStrike">
              <a:solidFill>
                <a:schemeClr val="bg1"/>
              </a:solidFill>
              <a:latin typeface="Aptos Narrow"/>
            </a:rPr>
            <a:t>20</a:t>
          </a:fld>
          <a:endParaRPr lang="fr-FR" sz="8800" b="1">
            <a:solidFill>
              <a:schemeClr val="bg1"/>
            </a:solidFill>
          </a:endParaRPr>
        </a:p>
      </xdr:txBody>
    </xdr:sp>
    <xdr:clientData/>
  </xdr:twoCellAnchor>
  <xdr:twoCellAnchor>
    <xdr:from>
      <xdr:col>9</xdr:col>
      <xdr:colOff>423334</xdr:colOff>
      <xdr:row>29</xdr:row>
      <xdr:rowOff>127000</xdr:rowOff>
    </xdr:from>
    <xdr:to>
      <xdr:col>10</xdr:col>
      <xdr:colOff>719666</xdr:colOff>
      <xdr:row>33</xdr:row>
      <xdr:rowOff>31750</xdr:rowOff>
    </xdr:to>
    <xdr:sp macro="" textlink="">
      <xdr:nvSpPr>
        <xdr:cNvPr id="24" name="TextBox 23">
          <a:extLst>
            <a:ext uri="{FF2B5EF4-FFF2-40B4-BE49-F238E27FC236}">
              <a16:creationId xmlns:a16="http://schemas.microsoft.com/office/drawing/2014/main" id="{2F9C1385-1760-4193-8119-F7617B1033E4}"/>
            </a:ext>
          </a:extLst>
        </xdr:cNvPr>
        <xdr:cNvSpPr txBox="1"/>
      </xdr:nvSpPr>
      <xdr:spPr>
        <a:xfrm>
          <a:off x="7757584" y="5450417"/>
          <a:ext cx="1111249" cy="624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200">
              <a:solidFill>
                <a:schemeClr val="bg1"/>
              </a:solidFill>
            </a:rPr>
            <a:t>Employees with</a:t>
          </a:r>
          <a:r>
            <a:rPr lang="fr-FR" sz="1200" baseline="0">
              <a:solidFill>
                <a:schemeClr val="bg1"/>
              </a:solidFill>
            </a:rPr>
            <a:t> Contracts</a:t>
          </a:r>
          <a:endParaRPr lang="fr-FR" sz="1200">
            <a:solidFill>
              <a:schemeClr val="bg1"/>
            </a:solidFill>
          </a:endParaRPr>
        </a:p>
      </xdr:txBody>
    </xdr:sp>
    <xdr:clientData/>
  </xdr:twoCellAnchor>
  <xdr:twoCellAnchor>
    <xdr:from>
      <xdr:col>10</xdr:col>
      <xdr:colOff>199268</xdr:colOff>
      <xdr:row>31</xdr:row>
      <xdr:rowOff>137582</xdr:rowOff>
    </xdr:from>
    <xdr:to>
      <xdr:col>11</xdr:col>
      <xdr:colOff>231018</xdr:colOff>
      <xdr:row>35</xdr:row>
      <xdr:rowOff>74081</xdr:rowOff>
    </xdr:to>
    <xdr:sp macro="" textlink="'Pivot Tables'!C11">
      <xdr:nvSpPr>
        <xdr:cNvPr id="25" name="TextBox 24">
          <a:extLst>
            <a:ext uri="{FF2B5EF4-FFF2-40B4-BE49-F238E27FC236}">
              <a16:creationId xmlns:a16="http://schemas.microsoft.com/office/drawing/2014/main" id="{229E3FA9-DD4C-4DE4-9A8E-36C32510390E}"/>
            </a:ext>
          </a:extLst>
        </xdr:cNvPr>
        <xdr:cNvSpPr txBox="1"/>
      </xdr:nvSpPr>
      <xdr:spPr>
        <a:xfrm>
          <a:off x="8348435" y="5820832"/>
          <a:ext cx="846666" cy="6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0E2E3D-6727-4969-BFD1-30869CB1BA7F}" type="TxLink">
            <a:rPr lang="en-US" sz="3200" b="1" i="0" u="none" strike="noStrike">
              <a:solidFill>
                <a:schemeClr val="bg1"/>
              </a:solidFill>
              <a:latin typeface="Aptos Narrow"/>
            </a:rPr>
            <a:t>17</a:t>
          </a:fld>
          <a:endParaRPr lang="fr-FR" sz="8800" b="1">
            <a:solidFill>
              <a:schemeClr val="bg1"/>
            </a:solidFill>
          </a:endParaRPr>
        </a:p>
      </xdr:txBody>
    </xdr:sp>
    <xdr:clientData/>
  </xdr:twoCellAnchor>
  <xdr:twoCellAnchor>
    <xdr:from>
      <xdr:col>6</xdr:col>
      <xdr:colOff>198966</xdr:colOff>
      <xdr:row>24</xdr:row>
      <xdr:rowOff>95250</xdr:rowOff>
    </xdr:from>
    <xdr:to>
      <xdr:col>7</xdr:col>
      <xdr:colOff>569383</xdr:colOff>
      <xdr:row>26</xdr:row>
      <xdr:rowOff>52917</xdr:rowOff>
    </xdr:to>
    <xdr:sp macro="" textlink="">
      <xdr:nvSpPr>
        <xdr:cNvPr id="26" name="TextBox 25">
          <a:extLst>
            <a:ext uri="{FF2B5EF4-FFF2-40B4-BE49-F238E27FC236}">
              <a16:creationId xmlns:a16="http://schemas.microsoft.com/office/drawing/2014/main" id="{89B93BAB-610F-41F6-8A47-873610570CEA}"/>
            </a:ext>
          </a:extLst>
        </xdr:cNvPr>
        <xdr:cNvSpPr txBox="1"/>
      </xdr:nvSpPr>
      <xdr:spPr>
        <a:xfrm>
          <a:off x="5088466" y="4519083"/>
          <a:ext cx="1185334"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chemeClr val="bg1"/>
              </a:solidFill>
            </a:rPr>
            <a:t>Total Salaries</a:t>
          </a:r>
        </a:p>
      </xdr:txBody>
    </xdr:sp>
    <xdr:clientData/>
  </xdr:twoCellAnchor>
  <xdr:twoCellAnchor>
    <xdr:from>
      <xdr:col>6</xdr:col>
      <xdr:colOff>198966</xdr:colOff>
      <xdr:row>26</xdr:row>
      <xdr:rowOff>74929</xdr:rowOff>
    </xdr:from>
    <xdr:to>
      <xdr:col>7</xdr:col>
      <xdr:colOff>569383</xdr:colOff>
      <xdr:row>28</xdr:row>
      <xdr:rowOff>38947</xdr:rowOff>
    </xdr:to>
    <xdr:sp macro="" textlink="">
      <xdr:nvSpPr>
        <xdr:cNvPr id="27" name="TextBox 26">
          <a:extLst>
            <a:ext uri="{FF2B5EF4-FFF2-40B4-BE49-F238E27FC236}">
              <a16:creationId xmlns:a16="http://schemas.microsoft.com/office/drawing/2014/main" id="{7A596834-988A-430C-A603-396B85572587}"/>
            </a:ext>
          </a:extLst>
        </xdr:cNvPr>
        <xdr:cNvSpPr txBox="1"/>
      </xdr:nvSpPr>
      <xdr:spPr>
        <a:xfrm>
          <a:off x="5088466" y="4858596"/>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rPr>
            <a:t>Managers</a:t>
          </a:r>
          <a:endParaRPr lang="fr-FR" sz="1400">
            <a:solidFill>
              <a:schemeClr val="bg1"/>
            </a:solidFill>
          </a:endParaRPr>
        </a:p>
      </xdr:txBody>
    </xdr:sp>
    <xdr:clientData/>
  </xdr:twoCellAnchor>
  <xdr:twoCellAnchor>
    <xdr:from>
      <xdr:col>6</xdr:col>
      <xdr:colOff>198966</xdr:colOff>
      <xdr:row>27</xdr:row>
      <xdr:rowOff>177376</xdr:rowOff>
    </xdr:from>
    <xdr:to>
      <xdr:col>7</xdr:col>
      <xdr:colOff>569383</xdr:colOff>
      <xdr:row>29</xdr:row>
      <xdr:rowOff>168910</xdr:rowOff>
    </xdr:to>
    <xdr:sp macro="" textlink="">
      <xdr:nvSpPr>
        <xdr:cNvPr id="28" name="TextBox 27">
          <a:extLst>
            <a:ext uri="{FF2B5EF4-FFF2-40B4-BE49-F238E27FC236}">
              <a16:creationId xmlns:a16="http://schemas.microsoft.com/office/drawing/2014/main" id="{E6F5F2A2-EBA5-45EF-A515-91FF61253120}"/>
            </a:ext>
          </a:extLst>
        </xdr:cNvPr>
        <xdr:cNvSpPr txBox="1"/>
      </xdr:nvSpPr>
      <xdr:spPr>
        <a:xfrm>
          <a:off x="5088466" y="5140959"/>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HR Specialists</a:t>
          </a:r>
        </a:p>
      </xdr:txBody>
    </xdr:sp>
    <xdr:clientData/>
  </xdr:twoCellAnchor>
  <xdr:twoCellAnchor>
    <xdr:from>
      <xdr:col>6</xdr:col>
      <xdr:colOff>198966</xdr:colOff>
      <xdr:row>29</xdr:row>
      <xdr:rowOff>127422</xdr:rowOff>
    </xdr:from>
    <xdr:to>
      <xdr:col>7</xdr:col>
      <xdr:colOff>569383</xdr:colOff>
      <xdr:row>31</xdr:row>
      <xdr:rowOff>118957</xdr:rowOff>
    </xdr:to>
    <xdr:sp macro="" textlink="">
      <xdr:nvSpPr>
        <xdr:cNvPr id="29" name="TextBox 28">
          <a:extLst>
            <a:ext uri="{FF2B5EF4-FFF2-40B4-BE49-F238E27FC236}">
              <a16:creationId xmlns:a16="http://schemas.microsoft.com/office/drawing/2014/main" id="{F0135F52-6D21-4154-8F0C-46567315FF36}"/>
            </a:ext>
          </a:extLst>
        </xdr:cNvPr>
        <xdr:cNvSpPr txBox="1"/>
      </xdr:nvSpPr>
      <xdr:spPr>
        <a:xfrm>
          <a:off x="5088466" y="5450839"/>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Developers</a:t>
          </a:r>
        </a:p>
      </xdr:txBody>
    </xdr:sp>
    <xdr:clientData/>
  </xdr:twoCellAnchor>
  <xdr:twoCellAnchor>
    <xdr:from>
      <xdr:col>6</xdr:col>
      <xdr:colOff>198966</xdr:colOff>
      <xdr:row>33</xdr:row>
      <xdr:rowOff>27515</xdr:rowOff>
    </xdr:from>
    <xdr:to>
      <xdr:col>7</xdr:col>
      <xdr:colOff>569383</xdr:colOff>
      <xdr:row>35</xdr:row>
      <xdr:rowOff>19049</xdr:rowOff>
    </xdr:to>
    <xdr:sp macro="" textlink="">
      <xdr:nvSpPr>
        <xdr:cNvPr id="30" name="TextBox 29">
          <a:extLst>
            <a:ext uri="{FF2B5EF4-FFF2-40B4-BE49-F238E27FC236}">
              <a16:creationId xmlns:a16="http://schemas.microsoft.com/office/drawing/2014/main" id="{F55032B4-9B8F-4310-B780-E730A9FDD864}"/>
            </a:ext>
          </a:extLst>
        </xdr:cNvPr>
        <xdr:cNvSpPr txBox="1"/>
      </xdr:nvSpPr>
      <xdr:spPr>
        <a:xfrm>
          <a:off x="5088466" y="6070598"/>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Analysts</a:t>
          </a:r>
        </a:p>
      </xdr:txBody>
    </xdr:sp>
    <xdr:clientData/>
  </xdr:twoCellAnchor>
  <xdr:twoCellAnchor>
    <xdr:from>
      <xdr:col>6</xdr:col>
      <xdr:colOff>198966</xdr:colOff>
      <xdr:row>31</xdr:row>
      <xdr:rowOff>77469</xdr:rowOff>
    </xdr:from>
    <xdr:to>
      <xdr:col>7</xdr:col>
      <xdr:colOff>569383</xdr:colOff>
      <xdr:row>33</xdr:row>
      <xdr:rowOff>69004</xdr:rowOff>
    </xdr:to>
    <xdr:sp macro="" textlink="">
      <xdr:nvSpPr>
        <xdr:cNvPr id="31" name="TextBox 30">
          <a:extLst>
            <a:ext uri="{FF2B5EF4-FFF2-40B4-BE49-F238E27FC236}">
              <a16:creationId xmlns:a16="http://schemas.microsoft.com/office/drawing/2014/main" id="{C7DE165F-62D3-4BDD-BA80-6BBA4FFF54D6}"/>
            </a:ext>
          </a:extLst>
        </xdr:cNvPr>
        <xdr:cNvSpPr txBox="1"/>
      </xdr:nvSpPr>
      <xdr:spPr>
        <a:xfrm>
          <a:off x="5088466" y="5760719"/>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Designers</a:t>
          </a:r>
        </a:p>
      </xdr:txBody>
    </xdr:sp>
    <xdr:clientData/>
  </xdr:twoCellAnchor>
  <xdr:twoCellAnchor>
    <xdr:from>
      <xdr:col>7</xdr:col>
      <xdr:colOff>140867</xdr:colOff>
      <xdr:row>24</xdr:row>
      <xdr:rowOff>83986</xdr:rowOff>
    </xdr:from>
    <xdr:to>
      <xdr:col>9</xdr:col>
      <xdr:colOff>122769</xdr:colOff>
      <xdr:row>26</xdr:row>
      <xdr:rowOff>87220</xdr:rowOff>
    </xdr:to>
    <xdr:sp macro="" textlink="'Pivot Tables'!F18">
      <xdr:nvSpPr>
        <xdr:cNvPr id="38" name="TextBox 37">
          <a:extLst>
            <a:ext uri="{FF2B5EF4-FFF2-40B4-BE49-F238E27FC236}">
              <a16:creationId xmlns:a16="http://schemas.microsoft.com/office/drawing/2014/main" id="{88B9E307-12A0-4FC8-AD7B-DD7018D717F2}"/>
            </a:ext>
          </a:extLst>
        </xdr:cNvPr>
        <xdr:cNvSpPr txBox="1"/>
      </xdr:nvSpPr>
      <xdr:spPr>
        <a:xfrm>
          <a:off x="5845284" y="4507819"/>
          <a:ext cx="1611735" cy="36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E761792-7A48-4F85-828C-8A03A186D4F3}" type="TxLink">
            <a:rPr lang="en-US" sz="1400" b="1" i="0" u="none" strike="noStrike">
              <a:solidFill>
                <a:sysClr val="windowText" lastClr="000000"/>
              </a:solidFill>
              <a:latin typeface="Kulim Park"/>
            </a:rPr>
            <a:pPr algn="r"/>
            <a:t> 3 104 913 </a:t>
          </a:fld>
          <a:endParaRPr lang="fr-FR" sz="1800" b="1">
            <a:solidFill>
              <a:sysClr val="windowText" lastClr="000000"/>
            </a:solidFill>
          </a:endParaRPr>
        </a:p>
      </xdr:txBody>
    </xdr:sp>
    <xdr:clientData/>
  </xdr:twoCellAnchor>
  <xdr:twoCellAnchor>
    <xdr:from>
      <xdr:col>7</xdr:col>
      <xdr:colOff>710178</xdr:colOff>
      <xdr:row>26</xdr:row>
      <xdr:rowOff>63784</xdr:rowOff>
    </xdr:from>
    <xdr:to>
      <xdr:col>9</xdr:col>
      <xdr:colOff>122769</xdr:colOff>
      <xdr:row>28</xdr:row>
      <xdr:rowOff>37224</xdr:rowOff>
    </xdr:to>
    <xdr:sp macro="" textlink="'Pivot Tables'!F17">
      <xdr:nvSpPr>
        <xdr:cNvPr id="39" name="TextBox 38">
          <a:extLst>
            <a:ext uri="{FF2B5EF4-FFF2-40B4-BE49-F238E27FC236}">
              <a16:creationId xmlns:a16="http://schemas.microsoft.com/office/drawing/2014/main" id="{F7DD2012-0666-400E-862D-34058B0D3178}"/>
            </a:ext>
          </a:extLst>
        </xdr:cNvPr>
        <xdr:cNvSpPr txBox="1"/>
      </xdr:nvSpPr>
      <xdr:spPr>
        <a:xfrm>
          <a:off x="6414595" y="4847451"/>
          <a:ext cx="1042424" cy="333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23CDBDE-8C2D-43D8-A729-C1CBB5E1A5BF}" type="TxLink">
            <a:rPr lang="en-US" sz="1400" b="1" i="0" u="none" strike="noStrike">
              <a:solidFill>
                <a:schemeClr val="bg1"/>
              </a:solidFill>
              <a:latin typeface="Kulim Park"/>
              <a:ea typeface="+mn-ea"/>
              <a:cs typeface="+mn-cs"/>
            </a:rPr>
            <a:pPr marL="0" indent="0" algn="r"/>
            <a:t> 731 170 </a:t>
          </a:fld>
          <a:endParaRPr lang="fr-FR" sz="1400" b="1" i="0" u="none" strike="noStrike">
            <a:solidFill>
              <a:schemeClr val="bg1"/>
            </a:solidFill>
            <a:latin typeface="Kulim Park"/>
            <a:ea typeface="+mn-ea"/>
            <a:cs typeface="+mn-cs"/>
          </a:endParaRPr>
        </a:p>
      </xdr:txBody>
    </xdr:sp>
    <xdr:clientData/>
  </xdr:twoCellAnchor>
  <xdr:twoCellAnchor>
    <xdr:from>
      <xdr:col>7</xdr:col>
      <xdr:colOff>84666</xdr:colOff>
      <xdr:row>27</xdr:row>
      <xdr:rowOff>121611</xdr:rowOff>
    </xdr:from>
    <xdr:to>
      <xdr:col>9</xdr:col>
      <xdr:colOff>122769</xdr:colOff>
      <xdr:row>30</xdr:row>
      <xdr:rowOff>965</xdr:rowOff>
    </xdr:to>
    <xdr:sp macro="" textlink="'Pivot Tables'!F16">
      <xdr:nvSpPr>
        <xdr:cNvPr id="40" name="TextBox 39">
          <a:extLst>
            <a:ext uri="{FF2B5EF4-FFF2-40B4-BE49-F238E27FC236}">
              <a16:creationId xmlns:a16="http://schemas.microsoft.com/office/drawing/2014/main" id="{B704CB57-615C-4694-9F85-C8371E8E0258}"/>
            </a:ext>
          </a:extLst>
        </xdr:cNvPr>
        <xdr:cNvSpPr txBox="1"/>
      </xdr:nvSpPr>
      <xdr:spPr>
        <a:xfrm>
          <a:off x="5789083" y="5085194"/>
          <a:ext cx="1667936" cy="419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06FA481-315E-4AC7-9140-9C4B18F28924}" type="TxLink">
            <a:rPr lang="en-US" sz="1400" b="1" i="0" u="none" strike="noStrike">
              <a:solidFill>
                <a:schemeClr val="bg1"/>
              </a:solidFill>
              <a:latin typeface="Kulim Park"/>
              <a:ea typeface="+mn-ea"/>
              <a:cs typeface="+mn-cs"/>
            </a:rPr>
            <a:pPr marL="0" indent="0" algn="r"/>
            <a:t> 959 266 </a:t>
          </a:fld>
          <a:endParaRPr lang="fr-FR" sz="1400" b="1" i="0" u="none" strike="noStrike">
            <a:solidFill>
              <a:schemeClr val="bg1"/>
            </a:solidFill>
            <a:latin typeface="Kulim Park"/>
            <a:ea typeface="+mn-ea"/>
            <a:cs typeface="+mn-cs"/>
          </a:endParaRPr>
        </a:p>
      </xdr:txBody>
    </xdr:sp>
    <xdr:clientData/>
  </xdr:twoCellAnchor>
  <xdr:twoCellAnchor>
    <xdr:from>
      <xdr:col>7</xdr:col>
      <xdr:colOff>79922</xdr:colOff>
      <xdr:row>29</xdr:row>
      <xdr:rowOff>60707</xdr:rowOff>
    </xdr:from>
    <xdr:to>
      <xdr:col>9</xdr:col>
      <xdr:colOff>122769</xdr:colOff>
      <xdr:row>31</xdr:row>
      <xdr:rowOff>119978</xdr:rowOff>
    </xdr:to>
    <xdr:sp macro="" textlink="'Pivot Tables'!F15">
      <xdr:nvSpPr>
        <xdr:cNvPr id="41" name="TextBox 40">
          <a:extLst>
            <a:ext uri="{FF2B5EF4-FFF2-40B4-BE49-F238E27FC236}">
              <a16:creationId xmlns:a16="http://schemas.microsoft.com/office/drawing/2014/main" id="{EA8703BE-5D80-41F1-9F5D-6659AE2C1D07}"/>
            </a:ext>
          </a:extLst>
        </xdr:cNvPr>
        <xdr:cNvSpPr txBox="1"/>
      </xdr:nvSpPr>
      <xdr:spPr>
        <a:xfrm>
          <a:off x="5784339" y="5384124"/>
          <a:ext cx="1672680" cy="419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2FAA44-6666-4233-A105-CE0192C8A864}" type="TxLink">
            <a:rPr lang="en-US" sz="1400" b="1" i="0" u="none" strike="noStrike">
              <a:solidFill>
                <a:schemeClr val="bg1"/>
              </a:solidFill>
              <a:latin typeface="Kulim Park"/>
              <a:ea typeface="+mn-ea"/>
              <a:cs typeface="+mn-cs"/>
            </a:rPr>
            <a:pPr marL="0" indent="0" algn="r"/>
            <a:t> 633 594 </a:t>
          </a:fld>
          <a:endParaRPr lang="fr-FR" sz="1400" b="1" i="0" u="none" strike="noStrike">
            <a:solidFill>
              <a:schemeClr val="bg1"/>
            </a:solidFill>
            <a:latin typeface="Kulim Park"/>
            <a:ea typeface="+mn-ea"/>
            <a:cs typeface="+mn-cs"/>
          </a:endParaRPr>
        </a:p>
      </xdr:txBody>
    </xdr:sp>
    <xdr:clientData/>
  </xdr:twoCellAnchor>
  <xdr:twoCellAnchor>
    <xdr:from>
      <xdr:col>7</xdr:col>
      <xdr:colOff>84666</xdr:colOff>
      <xdr:row>32</xdr:row>
      <xdr:rowOff>173562</xdr:rowOff>
    </xdr:from>
    <xdr:to>
      <xdr:col>9</xdr:col>
      <xdr:colOff>122769</xdr:colOff>
      <xdr:row>35</xdr:row>
      <xdr:rowOff>52916</xdr:rowOff>
    </xdr:to>
    <xdr:sp macro="" textlink="'Pivot Tables'!F13">
      <xdr:nvSpPr>
        <xdr:cNvPr id="42" name="TextBox 41">
          <a:extLst>
            <a:ext uri="{FF2B5EF4-FFF2-40B4-BE49-F238E27FC236}">
              <a16:creationId xmlns:a16="http://schemas.microsoft.com/office/drawing/2014/main" id="{8802E8E8-D4CF-4F4E-AADC-CBB048A7EEA9}"/>
            </a:ext>
          </a:extLst>
        </xdr:cNvPr>
        <xdr:cNvSpPr txBox="1"/>
      </xdr:nvSpPr>
      <xdr:spPr>
        <a:xfrm>
          <a:off x="5789083" y="6036729"/>
          <a:ext cx="1667936" cy="419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84E1E11-1EEF-4E07-9EA9-1F5F4EDB13FE}" type="TxLink">
            <a:rPr lang="en-US" sz="1400" b="1" i="0" u="none" strike="noStrike">
              <a:solidFill>
                <a:schemeClr val="bg1"/>
              </a:solidFill>
              <a:latin typeface="Kulim Park"/>
              <a:ea typeface="+mn-ea"/>
              <a:cs typeface="+mn-cs"/>
            </a:rPr>
            <a:pPr marL="0" indent="0" algn="r"/>
            <a:t> 167 041 </a:t>
          </a:fld>
          <a:endParaRPr lang="fr-FR" sz="1400" b="1" i="0" u="none" strike="noStrike">
            <a:solidFill>
              <a:schemeClr val="bg1"/>
            </a:solidFill>
            <a:latin typeface="Kulim Park"/>
            <a:ea typeface="+mn-ea"/>
            <a:cs typeface="+mn-cs"/>
          </a:endParaRPr>
        </a:p>
      </xdr:txBody>
    </xdr:sp>
    <xdr:clientData/>
  </xdr:twoCellAnchor>
  <xdr:twoCellAnchor>
    <xdr:from>
      <xdr:col>7</xdr:col>
      <xdr:colOff>84666</xdr:colOff>
      <xdr:row>31</xdr:row>
      <xdr:rowOff>43600</xdr:rowOff>
    </xdr:from>
    <xdr:to>
      <xdr:col>9</xdr:col>
      <xdr:colOff>122769</xdr:colOff>
      <xdr:row>33</xdr:row>
      <xdr:rowOff>102871</xdr:rowOff>
    </xdr:to>
    <xdr:sp macro="" textlink="'Pivot Tables'!F14">
      <xdr:nvSpPr>
        <xdr:cNvPr id="43" name="TextBox 42">
          <a:extLst>
            <a:ext uri="{FF2B5EF4-FFF2-40B4-BE49-F238E27FC236}">
              <a16:creationId xmlns:a16="http://schemas.microsoft.com/office/drawing/2014/main" id="{FDEA6563-0076-4CB2-A657-4A519603D048}"/>
            </a:ext>
          </a:extLst>
        </xdr:cNvPr>
        <xdr:cNvSpPr txBox="1"/>
      </xdr:nvSpPr>
      <xdr:spPr>
        <a:xfrm>
          <a:off x="5789083" y="5726850"/>
          <a:ext cx="1667936" cy="419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42D675D-6F42-4D15-BD2B-E80CB66EC2E9}" type="TxLink">
            <a:rPr lang="en-US" sz="1400" b="1" i="0" u="none" strike="noStrike">
              <a:solidFill>
                <a:schemeClr val="bg1"/>
              </a:solidFill>
              <a:latin typeface="Kulim Park"/>
              <a:ea typeface="+mn-ea"/>
              <a:cs typeface="+mn-cs"/>
            </a:rPr>
            <a:pPr marL="0" indent="0" algn="r"/>
            <a:t> 613 842 </a:t>
          </a:fld>
          <a:endParaRPr lang="fr-FR" sz="1400" b="1" i="0" u="none" strike="noStrike">
            <a:solidFill>
              <a:schemeClr val="bg1"/>
            </a:solidFill>
            <a:latin typeface="Kulim Park"/>
            <a:ea typeface="+mn-ea"/>
            <a:cs typeface="+mn-cs"/>
          </a:endParaRPr>
        </a:p>
      </xdr:txBody>
    </xdr:sp>
    <xdr:clientData/>
  </xdr:twoCellAnchor>
  <xdr:twoCellAnchor>
    <xdr:from>
      <xdr:col>6</xdr:col>
      <xdr:colOff>212270</xdr:colOff>
      <xdr:row>22</xdr:row>
      <xdr:rowOff>165580</xdr:rowOff>
    </xdr:from>
    <xdr:to>
      <xdr:col>9</xdr:col>
      <xdr:colOff>95249</xdr:colOff>
      <xdr:row>24</xdr:row>
      <xdr:rowOff>42335</xdr:rowOff>
    </xdr:to>
    <xdr:sp macro="" textlink="">
      <xdr:nvSpPr>
        <xdr:cNvPr id="73" name="TextBox 72">
          <a:extLst>
            <a:ext uri="{FF2B5EF4-FFF2-40B4-BE49-F238E27FC236}">
              <a16:creationId xmlns:a16="http://schemas.microsoft.com/office/drawing/2014/main" id="{5FB7B747-7BE5-4D01-BBEF-E80239C0E4C1}"/>
            </a:ext>
          </a:extLst>
        </xdr:cNvPr>
        <xdr:cNvSpPr txBox="1"/>
      </xdr:nvSpPr>
      <xdr:spPr>
        <a:xfrm>
          <a:off x="5101770" y="4229580"/>
          <a:ext cx="2327729" cy="236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Salary</a:t>
          </a:r>
          <a:r>
            <a:rPr lang="fr-FR" sz="1100" b="1" baseline="0">
              <a:solidFill>
                <a:schemeClr val="bg2">
                  <a:lumMod val="90000"/>
                </a:schemeClr>
              </a:solidFill>
            </a:rPr>
            <a:t> Amount by Job Titles</a:t>
          </a:r>
          <a:endParaRPr lang="fr-FR" sz="1100" b="1">
            <a:solidFill>
              <a:schemeClr val="bg2">
                <a:lumMod val="90000"/>
              </a:schemeClr>
            </a:solidFill>
          </a:endParaRPr>
        </a:p>
      </xdr:txBody>
    </xdr:sp>
    <xdr:clientData/>
  </xdr:twoCellAnchor>
  <xdr:twoCellAnchor>
    <xdr:from>
      <xdr:col>6</xdr:col>
      <xdr:colOff>203200</xdr:colOff>
      <xdr:row>21</xdr:row>
      <xdr:rowOff>84668</xdr:rowOff>
    </xdr:from>
    <xdr:to>
      <xdr:col>7</xdr:col>
      <xdr:colOff>573617</xdr:colOff>
      <xdr:row>23</xdr:row>
      <xdr:rowOff>48685</xdr:rowOff>
    </xdr:to>
    <xdr:sp macro="" textlink="">
      <xdr:nvSpPr>
        <xdr:cNvPr id="74" name="TextBox 73">
          <a:extLst>
            <a:ext uri="{FF2B5EF4-FFF2-40B4-BE49-F238E27FC236}">
              <a16:creationId xmlns:a16="http://schemas.microsoft.com/office/drawing/2014/main" id="{9762FA00-C54E-49E8-8081-51C582B03A0F}"/>
            </a:ext>
          </a:extLst>
        </xdr:cNvPr>
        <xdr:cNvSpPr txBox="1"/>
      </xdr:nvSpPr>
      <xdr:spPr>
        <a:xfrm>
          <a:off x="5092700" y="3968751"/>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E5B244"/>
              </a:solidFill>
            </a:rPr>
            <a:t>Salaries</a:t>
          </a:r>
        </a:p>
      </xdr:txBody>
    </xdr:sp>
    <xdr:clientData/>
  </xdr:twoCellAnchor>
  <xdr:twoCellAnchor>
    <xdr:from>
      <xdr:col>9</xdr:col>
      <xdr:colOff>370417</xdr:colOff>
      <xdr:row>20</xdr:row>
      <xdr:rowOff>158749</xdr:rowOff>
    </xdr:from>
    <xdr:to>
      <xdr:col>13</xdr:col>
      <xdr:colOff>254000</xdr:colOff>
      <xdr:row>22</xdr:row>
      <xdr:rowOff>137581</xdr:rowOff>
    </xdr:to>
    <xdr:sp macro="" textlink="">
      <xdr:nvSpPr>
        <xdr:cNvPr id="75" name="TextBox 74">
          <a:extLst>
            <a:ext uri="{FF2B5EF4-FFF2-40B4-BE49-F238E27FC236}">
              <a16:creationId xmlns:a16="http://schemas.microsoft.com/office/drawing/2014/main" id="{7C8C639B-E993-47AE-8B4E-14B6FA984638}"/>
            </a:ext>
          </a:extLst>
        </xdr:cNvPr>
        <xdr:cNvSpPr txBox="1"/>
      </xdr:nvSpPr>
      <xdr:spPr>
        <a:xfrm>
          <a:off x="7704667" y="3862916"/>
          <a:ext cx="3143250" cy="338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rgbClr val="E5B244"/>
              </a:solidFill>
            </a:rPr>
            <a:t>Employments status BreackDown</a:t>
          </a:r>
        </a:p>
      </xdr:txBody>
    </xdr:sp>
    <xdr:clientData/>
  </xdr:twoCellAnchor>
  <xdr:twoCellAnchor>
    <xdr:from>
      <xdr:col>9</xdr:col>
      <xdr:colOff>359834</xdr:colOff>
      <xdr:row>22</xdr:row>
      <xdr:rowOff>42333</xdr:rowOff>
    </xdr:from>
    <xdr:to>
      <xdr:col>11</xdr:col>
      <xdr:colOff>148167</xdr:colOff>
      <xdr:row>29</xdr:row>
      <xdr:rowOff>42333</xdr:rowOff>
    </xdr:to>
    <xdr:graphicFrame macro="">
      <xdr:nvGraphicFramePr>
        <xdr:cNvPr id="77" name="Chart 76">
          <a:extLst>
            <a:ext uri="{FF2B5EF4-FFF2-40B4-BE49-F238E27FC236}">
              <a16:creationId xmlns:a16="http://schemas.microsoft.com/office/drawing/2014/main" id="{9CB2BAE7-779B-481E-BD8B-163233186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275167</xdr:colOff>
      <xdr:row>23</xdr:row>
      <xdr:rowOff>42333</xdr:rowOff>
    </xdr:from>
    <xdr:to>
      <xdr:col>12</xdr:col>
      <xdr:colOff>486834</xdr:colOff>
      <xdr:row>24</xdr:row>
      <xdr:rowOff>52917</xdr:rowOff>
    </xdr:to>
    <xdr:sp macro="" textlink="">
      <xdr:nvSpPr>
        <xdr:cNvPr id="14" name="Flowchart: Connector 13">
          <a:extLst>
            <a:ext uri="{FF2B5EF4-FFF2-40B4-BE49-F238E27FC236}">
              <a16:creationId xmlns:a16="http://schemas.microsoft.com/office/drawing/2014/main" id="{F5CA021A-2F9E-4E19-A431-88F2D42E1235}"/>
            </a:ext>
          </a:extLst>
        </xdr:cNvPr>
        <xdr:cNvSpPr/>
      </xdr:nvSpPr>
      <xdr:spPr>
        <a:xfrm>
          <a:off x="10054167" y="4286250"/>
          <a:ext cx="211667" cy="190500"/>
        </a:xfrm>
        <a:prstGeom prst="flowChartConnector">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12</xdr:col>
      <xdr:colOff>285750</xdr:colOff>
      <xdr:row>29</xdr:row>
      <xdr:rowOff>137583</xdr:rowOff>
    </xdr:from>
    <xdr:to>
      <xdr:col>12</xdr:col>
      <xdr:colOff>497417</xdr:colOff>
      <xdr:row>30</xdr:row>
      <xdr:rowOff>148167</xdr:rowOff>
    </xdr:to>
    <xdr:sp macro="" textlink="">
      <xdr:nvSpPr>
        <xdr:cNvPr id="79" name="Flowchart: Connector 78">
          <a:extLst>
            <a:ext uri="{FF2B5EF4-FFF2-40B4-BE49-F238E27FC236}">
              <a16:creationId xmlns:a16="http://schemas.microsoft.com/office/drawing/2014/main" id="{FA0DEE7C-7CCC-48CF-BC64-4E4226F5DF4D}"/>
            </a:ext>
          </a:extLst>
        </xdr:cNvPr>
        <xdr:cNvSpPr/>
      </xdr:nvSpPr>
      <xdr:spPr>
        <a:xfrm>
          <a:off x="10064750" y="5461000"/>
          <a:ext cx="211667" cy="190500"/>
        </a:xfrm>
        <a:prstGeom prst="flowChartConnector">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xdr:col>
      <xdr:colOff>575733</xdr:colOff>
      <xdr:row>29</xdr:row>
      <xdr:rowOff>152400</xdr:rowOff>
    </xdr:from>
    <xdr:to>
      <xdr:col>10</xdr:col>
      <xdr:colOff>787400</xdr:colOff>
      <xdr:row>30</xdr:row>
      <xdr:rowOff>162984</xdr:rowOff>
    </xdr:to>
    <xdr:sp macro="" textlink="">
      <xdr:nvSpPr>
        <xdr:cNvPr id="80" name="Flowchart: Connector 79">
          <a:extLst>
            <a:ext uri="{FF2B5EF4-FFF2-40B4-BE49-F238E27FC236}">
              <a16:creationId xmlns:a16="http://schemas.microsoft.com/office/drawing/2014/main" id="{486D8EAE-9FDA-4679-9650-A984584ECED3}"/>
            </a:ext>
          </a:extLst>
        </xdr:cNvPr>
        <xdr:cNvSpPr/>
      </xdr:nvSpPr>
      <xdr:spPr>
        <a:xfrm>
          <a:off x="8724900" y="5475817"/>
          <a:ext cx="211667" cy="190500"/>
        </a:xfrm>
        <a:prstGeom prst="flowChartConnector">
          <a:avLst/>
        </a:prstGeom>
        <a:solidFill>
          <a:srgbClr val="E5B2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xdr:col>
      <xdr:colOff>550334</xdr:colOff>
      <xdr:row>25</xdr:row>
      <xdr:rowOff>95249</xdr:rowOff>
    </xdr:from>
    <xdr:to>
      <xdr:col>5</xdr:col>
      <xdr:colOff>645584</xdr:colOff>
      <xdr:row>35</xdr:row>
      <xdr:rowOff>10583</xdr:rowOff>
    </xdr:to>
    <xdr:graphicFrame macro="">
      <xdr:nvGraphicFramePr>
        <xdr:cNvPr id="81" name="Chart 80">
          <a:extLst>
            <a:ext uri="{FF2B5EF4-FFF2-40B4-BE49-F238E27FC236}">
              <a16:creationId xmlns:a16="http://schemas.microsoft.com/office/drawing/2014/main" id="{CBA7504E-D518-44B3-A389-FB1FE6E61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599621</xdr:colOff>
      <xdr:row>23</xdr:row>
      <xdr:rowOff>10582</xdr:rowOff>
    </xdr:from>
    <xdr:to>
      <xdr:col>5</xdr:col>
      <xdr:colOff>677334</xdr:colOff>
      <xdr:row>25</xdr:row>
      <xdr:rowOff>105834</xdr:rowOff>
    </xdr:to>
    <xdr:sp macro="" textlink="">
      <xdr:nvSpPr>
        <xdr:cNvPr id="82" name="TextBox 81">
          <a:extLst>
            <a:ext uri="{FF2B5EF4-FFF2-40B4-BE49-F238E27FC236}">
              <a16:creationId xmlns:a16="http://schemas.microsoft.com/office/drawing/2014/main" id="{A67087B3-7462-4103-87E6-B5A0FE773DA4}"/>
            </a:ext>
          </a:extLst>
        </xdr:cNvPr>
        <xdr:cNvSpPr txBox="1"/>
      </xdr:nvSpPr>
      <xdr:spPr>
        <a:xfrm>
          <a:off x="2229454" y="4254499"/>
          <a:ext cx="2522463" cy="4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No of emloyees according to age ranges and genders</a:t>
          </a:r>
        </a:p>
      </xdr:txBody>
    </xdr:sp>
    <xdr:clientData/>
  </xdr:twoCellAnchor>
  <xdr:twoCellAnchor>
    <xdr:from>
      <xdr:col>2</xdr:col>
      <xdr:colOff>601134</xdr:colOff>
      <xdr:row>21</xdr:row>
      <xdr:rowOff>105833</xdr:rowOff>
    </xdr:from>
    <xdr:to>
      <xdr:col>4</xdr:col>
      <xdr:colOff>156634</xdr:colOff>
      <xdr:row>23</xdr:row>
      <xdr:rowOff>69850</xdr:rowOff>
    </xdr:to>
    <xdr:sp macro="" textlink="">
      <xdr:nvSpPr>
        <xdr:cNvPr id="83" name="TextBox 82">
          <a:extLst>
            <a:ext uri="{FF2B5EF4-FFF2-40B4-BE49-F238E27FC236}">
              <a16:creationId xmlns:a16="http://schemas.microsoft.com/office/drawing/2014/main" id="{A84C6A69-0334-4359-855F-B9DE65BBB417}"/>
            </a:ext>
          </a:extLst>
        </xdr:cNvPr>
        <xdr:cNvSpPr txBox="1"/>
      </xdr:nvSpPr>
      <xdr:spPr>
        <a:xfrm>
          <a:off x="2230967" y="3989916"/>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E5B244"/>
              </a:solidFill>
            </a:rPr>
            <a:t>Age Range</a:t>
          </a:r>
        </a:p>
      </xdr:txBody>
    </xdr:sp>
    <xdr:clientData/>
  </xdr:twoCellAnchor>
  <xdr:twoCellAnchor>
    <xdr:from>
      <xdr:col>4</xdr:col>
      <xdr:colOff>201085</xdr:colOff>
      <xdr:row>24</xdr:row>
      <xdr:rowOff>148167</xdr:rowOff>
    </xdr:from>
    <xdr:to>
      <xdr:col>4</xdr:col>
      <xdr:colOff>296333</xdr:colOff>
      <xdr:row>25</xdr:row>
      <xdr:rowOff>74084</xdr:rowOff>
    </xdr:to>
    <xdr:sp macro="" textlink="">
      <xdr:nvSpPr>
        <xdr:cNvPr id="84" name="Flowchart: Connector 83">
          <a:extLst>
            <a:ext uri="{FF2B5EF4-FFF2-40B4-BE49-F238E27FC236}">
              <a16:creationId xmlns:a16="http://schemas.microsoft.com/office/drawing/2014/main" id="{29F183E5-5F89-4660-8AB0-0B1BD65B5407}"/>
            </a:ext>
          </a:extLst>
        </xdr:cNvPr>
        <xdr:cNvSpPr/>
      </xdr:nvSpPr>
      <xdr:spPr>
        <a:xfrm>
          <a:off x="3460752" y="4572000"/>
          <a:ext cx="95248" cy="105834"/>
        </a:xfrm>
        <a:prstGeom prst="flowChartConnector">
          <a:avLst/>
        </a:prstGeom>
        <a:solidFill>
          <a:srgbClr val="E5B2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4</xdr:col>
      <xdr:colOff>264583</xdr:colOff>
      <xdr:row>24</xdr:row>
      <xdr:rowOff>63502</xdr:rowOff>
    </xdr:from>
    <xdr:to>
      <xdr:col>5</xdr:col>
      <xdr:colOff>264583</xdr:colOff>
      <xdr:row>25</xdr:row>
      <xdr:rowOff>158751</xdr:rowOff>
    </xdr:to>
    <xdr:sp macro="" textlink="">
      <xdr:nvSpPr>
        <xdr:cNvPr id="85" name="TextBox 84">
          <a:extLst>
            <a:ext uri="{FF2B5EF4-FFF2-40B4-BE49-F238E27FC236}">
              <a16:creationId xmlns:a16="http://schemas.microsoft.com/office/drawing/2014/main" id="{F4712993-53C0-467A-B26A-2AD9348CD084}"/>
            </a:ext>
          </a:extLst>
        </xdr:cNvPr>
        <xdr:cNvSpPr txBox="1"/>
      </xdr:nvSpPr>
      <xdr:spPr>
        <a:xfrm>
          <a:off x="3524250" y="4487335"/>
          <a:ext cx="814916"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Females</a:t>
          </a:r>
        </a:p>
      </xdr:txBody>
    </xdr:sp>
    <xdr:clientData/>
  </xdr:twoCellAnchor>
  <xdr:twoCellAnchor>
    <xdr:from>
      <xdr:col>5</xdr:col>
      <xdr:colOff>105832</xdr:colOff>
      <xdr:row>24</xdr:row>
      <xdr:rowOff>158751</xdr:rowOff>
    </xdr:from>
    <xdr:to>
      <xdr:col>5</xdr:col>
      <xdr:colOff>201080</xdr:colOff>
      <xdr:row>25</xdr:row>
      <xdr:rowOff>84668</xdr:rowOff>
    </xdr:to>
    <xdr:sp macro="" textlink="">
      <xdr:nvSpPr>
        <xdr:cNvPr id="86" name="Flowchart: Connector 85">
          <a:extLst>
            <a:ext uri="{FF2B5EF4-FFF2-40B4-BE49-F238E27FC236}">
              <a16:creationId xmlns:a16="http://schemas.microsoft.com/office/drawing/2014/main" id="{C724DA2C-EA02-48CF-A7BC-9F7CDE50E75F}"/>
            </a:ext>
          </a:extLst>
        </xdr:cNvPr>
        <xdr:cNvSpPr/>
      </xdr:nvSpPr>
      <xdr:spPr>
        <a:xfrm>
          <a:off x="4180415" y="4582584"/>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xdr:col>
      <xdr:colOff>190500</xdr:colOff>
      <xdr:row>24</xdr:row>
      <xdr:rowOff>74083</xdr:rowOff>
    </xdr:from>
    <xdr:to>
      <xdr:col>6</xdr:col>
      <xdr:colOff>190499</xdr:colOff>
      <xdr:row>25</xdr:row>
      <xdr:rowOff>169332</xdr:rowOff>
    </xdr:to>
    <xdr:sp macro="" textlink="">
      <xdr:nvSpPr>
        <xdr:cNvPr id="87" name="TextBox 86">
          <a:extLst>
            <a:ext uri="{FF2B5EF4-FFF2-40B4-BE49-F238E27FC236}">
              <a16:creationId xmlns:a16="http://schemas.microsoft.com/office/drawing/2014/main" id="{81EFE2D1-A545-44B3-BB0F-28BD10D2A137}"/>
            </a:ext>
          </a:extLst>
        </xdr:cNvPr>
        <xdr:cNvSpPr txBox="1"/>
      </xdr:nvSpPr>
      <xdr:spPr>
        <a:xfrm>
          <a:off x="4265083" y="4497916"/>
          <a:ext cx="814916"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Males</a:t>
          </a:r>
        </a:p>
      </xdr:txBody>
    </xdr:sp>
    <xdr:clientData/>
  </xdr:twoCellAnchor>
  <xdr:twoCellAnchor>
    <xdr:from>
      <xdr:col>0</xdr:col>
      <xdr:colOff>165100</xdr:colOff>
      <xdr:row>26</xdr:row>
      <xdr:rowOff>4231</xdr:rowOff>
    </xdr:from>
    <xdr:to>
      <xdr:col>1</xdr:col>
      <xdr:colOff>687916</xdr:colOff>
      <xdr:row>30</xdr:row>
      <xdr:rowOff>124883</xdr:rowOff>
    </xdr:to>
    <xdr:graphicFrame macro="">
      <xdr:nvGraphicFramePr>
        <xdr:cNvPr id="91" name="Chart 90">
          <a:extLst>
            <a:ext uri="{FF2B5EF4-FFF2-40B4-BE49-F238E27FC236}">
              <a16:creationId xmlns:a16="http://schemas.microsoft.com/office/drawing/2014/main" id="{71FC4408-03F9-4A9E-8B57-7FD3E35F1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28</xdr:row>
      <xdr:rowOff>165098</xdr:rowOff>
    </xdr:from>
    <xdr:to>
      <xdr:col>1</xdr:col>
      <xdr:colOff>687916</xdr:colOff>
      <xdr:row>33</xdr:row>
      <xdr:rowOff>105833</xdr:rowOff>
    </xdr:to>
    <xdr:graphicFrame macro="">
      <xdr:nvGraphicFramePr>
        <xdr:cNvPr id="92" name="Chart 91">
          <a:extLst>
            <a:ext uri="{FF2B5EF4-FFF2-40B4-BE49-F238E27FC236}">
              <a16:creationId xmlns:a16="http://schemas.microsoft.com/office/drawing/2014/main" id="{37D6FE3D-3F15-4798-A353-4D866A4D6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165100</xdr:colOff>
      <xdr:row>31</xdr:row>
      <xdr:rowOff>135465</xdr:rowOff>
    </xdr:from>
    <xdr:to>
      <xdr:col>1</xdr:col>
      <xdr:colOff>687916</xdr:colOff>
      <xdr:row>36</xdr:row>
      <xdr:rowOff>76200</xdr:rowOff>
    </xdr:to>
    <xdr:graphicFrame macro="">
      <xdr:nvGraphicFramePr>
        <xdr:cNvPr id="93" name="Chart 92">
          <a:extLst>
            <a:ext uri="{FF2B5EF4-FFF2-40B4-BE49-F238E27FC236}">
              <a16:creationId xmlns:a16="http://schemas.microsoft.com/office/drawing/2014/main" id="{26923E85-5EB9-4303-A32F-C471D614F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196850</xdr:colOff>
      <xdr:row>26</xdr:row>
      <xdr:rowOff>55281</xdr:rowOff>
    </xdr:from>
    <xdr:to>
      <xdr:col>1</xdr:col>
      <xdr:colOff>567267</xdr:colOff>
      <xdr:row>28</xdr:row>
      <xdr:rowOff>19299</xdr:rowOff>
    </xdr:to>
    <xdr:sp macro="" textlink="">
      <xdr:nvSpPr>
        <xdr:cNvPr id="94" name="TextBox 93">
          <a:extLst>
            <a:ext uri="{FF2B5EF4-FFF2-40B4-BE49-F238E27FC236}">
              <a16:creationId xmlns:a16="http://schemas.microsoft.com/office/drawing/2014/main" id="{B0448440-231A-43C3-950B-CC11F3E3981E}"/>
            </a:ext>
          </a:extLst>
        </xdr:cNvPr>
        <xdr:cNvSpPr txBox="1"/>
      </xdr:nvSpPr>
      <xdr:spPr>
        <a:xfrm>
          <a:off x="196850" y="4838948"/>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rPr>
            <a:t>Branch Office</a:t>
          </a:r>
          <a:endParaRPr lang="fr-FR" sz="1400">
            <a:solidFill>
              <a:schemeClr val="bg1"/>
            </a:solidFill>
          </a:endParaRPr>
        </a:p>
      </xdr:txBody>
    </xdr:sp>
    <xdr:clientData/>
  </xdr:twoCellAnchor>
  <xdr:twoCellAnchor>
    <xdr:from>
      <xdr:col>0</xdr:col>
      <xdr:colOff>218017</xdr:colOff>
      <xdr:row>29</xdr:row>
      <xdr:rowOff>20144</xdr:rowOff>
    </xdr:from>
    <xdr:to>
      <xdr:col>1</xdr:col>
      <xdr:colOff>588434</xdr:colOff>
      <xdr:row>31</xdr:row>
      <xdr:rowOff>11679</xdr:rowOff>
    </xdr:to>
    <xdr:sp macro="" textlink="">
      <xdr:nvSpPr>
        <xdr:cNvPr id="95" name="TextBox 94">
          <a:extLst>
            <a:ext uri="{FF2B5EF4-FFF2-40B4-BE49-F238E27FC236}">
              <a16:creationId xmlns:a16="http://schemas.microsoft.com/office/drawing/2014/main" id="{B3185BF0-678D-4B16-9C92-CDAE310FBE0B}"/>
            </a:ext>
          </a:extLst>
        </xdr:cNvPr>
        <xdr:cNvSpPr txBox="1"/>
      </xdr:nvSpPr>
      <xdr:spPr>
        <a:xfrm>
          <a:off x="218017" y="5343561"/>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Head Office</a:t>
          </a:r>
        </a:p>
      </xdr:txBody>
    </xdr:sp>
    <xdr:clientData/>
  </xdr:twoCellAnchor>
  <xdr:twoCellAnchor>
    <xdr:from>
      <xdr:col>0</xdr:col>
      <xdr:colOff>218017</xdr:colOff>
      <xdr:row>31</xdr:row>
      <xdr:rowOff>171274</xdr:rowOff>
    </xdr:from>
    <xdr:to>
      <xdr:col>1</xdr:col>
      <xdr:colOff>588434</xdr:colOff>
      <xdr:row>33</xdr:row>
      <xdr:rowOff>162809</xdr:rowOff>
    </xdr:to>
    <xdr:sp macro="" textlink="">
      <xdr:nvSpPr>
        <xdr:cNvPr id="96" name="TextBox 95">
          <a:extLst>
            <a:ext uri="{FF2B5EF4-FFF2-40B4-BE49-F238E27FC236}">
              <a16:creationId xmlns:a16="http://schemas.microsoft.com/office/drawing/2014/main" id="{39026C01-49CD-4352-BE02-B5D4E8F3B6ED}"/>
            </a:ext>
          </a:extLst>
        </xdr:cNvPr>
        <xdr:cNvSpPr txBox="1"/>
      </xdr:nvSpPr>
      <xdr:spPr>
        <a:xfrm>
          <a:off x="218017" y="5854524"/>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Remote</a:t>
          </a:r>
        </a:p>
      </xdr:txBody>
    </xdr:sp>
    <xdr:clientData/>
  </xdr:twoCellAnchor>
  <xdr:twoCellAnchor>
    <xdr:from>
      <xdr:col>0</xdr:col>
      <xdr:colOff>218017</xdr:colOff>
      <xdr:row>23</xdr:row>
      <xdr:rowOff>116415</xdr:rowOff>
    </xdr:from>
    <xdr:to>
      <xdr:col>2</xdr:col>
      <xdr:colOff>137584</xdr:colOff>
      <xdr:row>25</xdr:row>
      <xdr:rowOff>42333</xdr:rowOff>
    </xdr:to>
    <xdr:sp macro="" textlink="">
      <xdr:nvSpPr>
        <xdr:cNvPr id="97" name="TextBox 96">
          <a:extLst>
            <a:ext uri="{FF2B5EF4-FFF2-40B4-BE49-F238E27FC236}">
              <a16:creationId xmlns:a16="http://schemas.microsoft.com/office/drawing/2014/main" id="{5AE5B2EF-4BFD-469B-889F-82205C06F54E}"/>
            </a:ext>
          </a:extLst>
        </xdr:cNvPr>
        <xdr:cNvSpPr txBox="1"/>
      </xdr:nvSpPr>
      <xdr:spPr>
        <a:xfrm>
          <a:off x="218017" y="4360332"/>
          <a:ext cx="154940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rgbClr val="E5B244"/>
              </a:solidFill>
            </a:rPr>
            <a:t>Work Location</a:t>
          </a:r>
        </a:p>
      </xdr:txBody>
    </xdr:sp>
    <xdr:clientData/>
  </xdr:twoCellAnchor>
  <xdr:twoCellAnchor>
    <xdr:from>
      <xdr:col>0</xdr:col>
      <xdr:colOff>207434</xdr:colOff>
      <xdr:row>24</xdr:row>
      <xdr:rowOff>152399</xdr:rowOff>
    </xdr:from>
    <xdr:to>
      <xdr:col>2</xdr:col>
      <xdr:colOff>232834</xdr:colOff>
      <xdr:row>26</xdr:row>
      <xdr:rowOff>63500</xdr:rowOff>
    </xdr:to>
    <xdr:sp macro="" textlink="">
      <xdr:nvSpPr>
        <xdr:cNvPr id="101" name="TextBox 100">
          <a:extLst>
            <a:ext uri="{FF2B5EF4-FFF2-40B4-BE49-F238E27FC236}">
              <a16:creationId xmlns:a16="http://schemas.microsoft.com/office/drawing/2014/main" id="{EDA5AA22-BB98-448B-A299-4B3B543504B2}"/>
            </a:ext>
          </a:extLst>
        </xdr:cNvPr>
        <xdr:cNvSpPr txBox="1"/>
      </xdr:nvSpPr>
      <xdr:spPr>
        <a:xfrm>
          <a:off x="207434" y="4576232"/>
          <a:ext cx="1655233" cy="270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Employees to Workplace</a:t>
          </a:r>
        </a:p>
      </xdr:txBody>
    </xdr:sp>
    <xdr:clientData/>
  </xdr:twoCellAnchor>
  <xdr:twoCellAnchor>
    <xdr:from>
      <xdr:col>1</xdr:col>
      <xdr:colOff>529166</xdr:colOff>
      <xdr:row>27</xdr:row>
      <xdr:rowOff>84667</xdr:rowOff>
    </xdr:from>
    <xdr:to>
      <xdr:col>3</xdr:col>
      <xdr:colOff>84667</xdr:colOff>
      <xdr:row>29</xdr:row>
      <xdr:rowOff>48684</xdr:rowOff>
    </xdr:to>
    <xdr:sp macro="" textlink="'Pivot Tables'!P11">
      <xdr:nvSpPr>
        <xdr:cNvPr id="102" name="TextBox 101">
          <a:extLst>
            <a:ext uri="{FF2B5EF4-FFF2-40B4-BE49-F238E27FC236}">
              <a16:creationId xmlns:a16="http://schemas.microsoft.com/office/drawing/2014/main" id="{436FA2EF-AFF4-41A0-A281-05730CF573A5}"/>
            </a:ext>
          </a:extLst>
        </xdr:cNvPr>
        <xdr:cNvSpPr txBox="1"/>
      </xdr:nvSpPr>
      <xdr:spPr>
        <a:xfrm>
          <a:off x="1344083" y="5048250"/>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70EAD9-32FB-4741-A251-9496B87D5523}" type="TxLink">
            <a:rPr lang="en-US" sz="1100" b="1" i="0" u="none" strike="noStrike">
              <a:solidFill>
                <a:schemeClr val="bg1"/>
              </a:solidFill>
              <a:latin typeface="Aptos Narrow"/>
            </a:rPr>
            <a:t>46%</a:t>
          </a:fld>
          <a:endParaRPr lang="fr-FR" sz="1400">
            <a:solidFill>
              <a:schemeClr val="bg1"/>
            </a:solidFill>
          </a:endParaRPr>
        </a:p>
      </xdr:txBody>
    </xdr:sp>
    <xdr:clientData/>
  </xdr:twoCellAnchor>
  <xdr:twoCellAnchor>
    <xdr:from>
      <xdr:col>1</xdr:col>
      <xdr:colOff>522817</xdr:colOff>
      <xdr:row>30</xdr:row>
      <xdr:rowOff>57149</xdr:rowOff>
    </xdr:from>
    <xdr:to>
      <xdr:col>3</xdr:col>
      <xdr:colOff>78318</xdr:colOff>
      <xdr:row>32</xdr:row>
      <xdr:rowOff>21166</xdr:rowOff>
    </xdr:to>
    <xdr:sp macro="" textlink="'Pivot Tables'!P12">
      <xdr:nvSpPr>
        <xdr:cNvPr id="103" name="TextBox 102">
          <a:extLst>
            <a:ext uri="{FF2B5EF4-FFF2-40B4-BE49-F238E27FC236}">
              <a16:creationId xmlns:a16="http://schemas.microsoft.com/office/drawing/2014/main" id="{D724BE46-1A87-4F77-9B08-87B0648C5D2A}"/>
            </a:ext>
          </a:extLst>
        </xdr:cNvPr>
        <xdr:cNvSpPr txBox="1"/>
      </xdr:nvSpPr>
      <xdr:spPr>
        <a:xfrm>
          <a:off x="1337734" y="5560482"/>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1D017B-97AB-4F8E-B38B-D18F69FD1B92}" type="TxLink">
            <a:rPr lang="en-US" sz="1100" b="1" i="0" u="none" strike="noStrike">
              <a:solidFill>
                <a:schemeClr val="bg1"/>
              </a:solidFill>
              <a:latin typeface="Aptos Narrow"/>
            </a:rPr>
            <a:t>16%</a:t>
          </a:fld>
          <a:endParaRPr lang="fr-FR" sz="1400">
            <a:solidFill>
              <a:schemeClr val="bg1"/>
            </a:solidFill>
          </a:endParaRPr>
        </a:p>
      </xdr:txBody>
    </xdr:sp>
    <xdr:clientData/>
  </xdr:twoCellAnchor>
  <xdr:twoCellAnchor>
    <xdr:from>
      <xdr:col>1</xdr:col>
      <xdr:colOff>537634</xdr:colOff>
      <xdr:row>33</xdr:row>
      <xdr:rowOff>40218</xdr:rowOff>
    </xdr:from>
    <xdr:to>
      <xdr:col>3</xdr:col>
      <xdr:colOff>93135</xdr:colOff>
      <xdr:row>35</xdr:row>
      <xdr:rowOff>4235</xdr:rowOff>
    </xdr:to>
    <xdr:sp macro="" textlink="'Pivot Tables'!P13">
      <xdr:nvSpPr>
        <xdr:cNvPr id="104" name="TextBox 103">
          <a:extLst>
            <a:ext uri="{FF2B5EF4-FFF2-40B4-BE49-F238E27FC236}">
              <a16:creationId xmlns:a16="http://schemas.microsoft.com/office/drawing/2014/main" id="{702E0B44-85C4-4CF2-B5D2-311789098D39}"/>
            </a:ext>
          </a:extLst>
        </xdr:cNvPr>
        <xdr:cNvSpPr txBox="1"/>
      </xdr:nvSpPr>
      <xdr:spPr>
        <a:xfrm>
          <a:off x="1352551" y="6083301"/>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D49DBC-E741-4733-AEB4-442CB7F53382}" type="TxLink">
            <a:rPr lang="en-US" sz="1100" b="1" i="0" u="none" strike="noStrike">
              <a:solidFill>
                <a:schemeClr val="bg1"/>
              </a:solidFill>
              <a:latin typeface="Aptos Narrow"/>
            </a:rPr>
            <a:t>38%</a:t>
          </a:fld>
          <a:endParaRPr lang="fr-FR" sz="1400">
            <a:solidFill>
              <a:schemeClr val="bg1"/>
            </a:solidFill>
          </a:endParaRPr>
        </a:p>
      </xdr:txBody>
    </xdr:sp>
    <xdr:clientData/>
  </xdr:twoCellAnchor>
  <xdr:twoCellAnchor>
    <xdr:from>
      <xdr:col>0</xdr:col>
      <xdr:colOff>218018</xdr:colOff>
      <xdr:row>13</xdr:row>
      <xdr:rowOff>215897</xdr:rowOff>
    </xdr:from>
    <xdr:to>
      <xdr:col>1</xdr:col>
      <xdr:colOff>588435</xdr:colOff>
      <xdr:row>15</xdr:row>
      <xdr:rowOff>74082</xdr:rowOff>
    </xdr:to>
    <xdr:sp macro="" textlink="">
      <xdr:nvSpPr>
        <xdr:cNvPr id="105" name="TextBox 104">
          <a:extLst>
            <a:ext uri="{FF2B5EF4-FFF2-40B4-BE49-F238E27FC236}">
              <a16:creationId xmlns:a16="http://schemas.microsoft.com/office/drawing/2014/main" id="{C9827985-8379-43B0-B4E0-776174856EA8}"/>
            </a:ext>
          </a:extLst>
        </xdr:cNvPr>
        <xdr:cNvSpPr txBox="1"/>
      </xdr:nvSpPr>
      <xdr:spPr>
        <a:xfrm>
          <a:off x="218018" y="2554814"/>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rPr>
            <a:t>Communication</a:t>
          </a:r>
          <a:endParaRPr lang="fr-FR" sz="1400">
            <a:solidFill>
              <a:schemeClr val="bg1"/>
            </a:solidFill>
          </a:endParaRPr>
        </a:p>
      </xdr:txBody>
    </xdr:sp>
    <xdr:clientData/>
  </xdr:twoCellAnchor>
  <xdr:twoCellAnchor>
    <xdr:from>
      <xdr:col>0</xdr:col>
      <xdr:colOff>218018</xdr:colOff>
      <xdr:row>15</xdr:row>
      <xdr:rowOff>32594</xdr:rowOff>
    </xdr:from>
    <xdr:to>
      <xdr:col>1</xdr:col>
      <xdr:colOff>588435</xdr:colOff>
      <xdr:row>17</xdr:row>
      <xdr:rowOff>24128</xdr:rowOff>
    </xdr:to>
    <xdr:sp macro="" textlink="">
      <xdr:nvSpPr>
        <xdr:cNvPr id="106" name="TextBox 105">
          <a:extLst>
            <a:ext uri="{FF2B5EF4-FFF2-40B4-BE49-F238E27FC236}">
              <a16:creationId xmlns:a16="http://schemas.microsoft.com/office/drawing/2014/main" id="{293EEB3C-C034-4B4E-B490-23EADFA6951E}"/>
            </a:ext>
          </a:extLst>
        </xdr:cNvPr>
        <xdr:cNvSpPr txBox="1"/>
      </xdr:nvSpPr>
      <xdr:spPr>
        <a:xfrm>
          <a:off x="218018" y="2837177"/>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Design</a:t>
          </a:r>
        </a:p>
      </xdr:txBody>
    </xdr:sp>
    <xdr:clientData/>
  </xdr:twoCellAnchor>
  <xdr:twoCellAnchor>
    <xdr:from>
      <xdr:col>0</xdr:col>
      <xdr:colOff>218018</xdr:colOff>
      <xdr:row>16</xdr:row>
      <xdr:rowOff>162557</xdr:rowOff>
    </xdr:from>
    <xdr:to>
      <xdr:col>1</xdr:col>
      <xdr:colOff>588435</xdr:colOff>
      <xdr:row>18</xdr:row>
      <xdr:rowOff>154092</xdr:rowOff>
    </xdr:to>
    <xdr:sp macro="" textlink="">
      <xdr:nvSpPr>
        <xdr:cNvPr id="107" name="TextBox 106">
          <a:extLst>
            <a:ext uri="{FF2B5EF4-FFF2-40B4-BE49-F238E27FC236}">
              <a16:creationId xmlns:a16="http://schemas.microsoft.com/office/drawing/2014/main" id="{D6F31F5E-F153-4567-ABBB-F15E5AA38A61}"/>
            </a:ext>
          </a:extLst>
        </xdr:cNvPr>
        <xdr:cNvSpPr txBox="1"/>
      </xdr:nvSpPr>
      <xdr:spPr>
        <a:xfrm>
          <a:off x="218018" y="3147057"/>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Excel</a:t>
          </a:r>
        </a:p>
      </xdr:txBody>
    </xdr:sp>
    <xdr:clientData/>
  </xdr:twoCellAnchor>
  <xdr:twoCellAnchor>
    <xdr:from>
      <xdr:col>0</xdr:col>
      <xdr:colOff>218018</xdr:colOff>
      <xdr:row>20</xdr:row>
      <xdr:rowOff>62649</xdr:rowOff>
    </xdr:from>
    <xdr:to>
      <xdr:col>1</xdr:col>
      <xdr:colOff>588435</xdr:colOff>
      <xdr:row>22</xdr:row>
      <xdr:rowOff>54184</xdr:rowOff>
    </xdr:to>
    <xdr:sp macro="" textlink="">
      <xdr:nvSpPr>
        <xdr:cNvPr id="108" name="TextBox 107">
          <a:extLst>
            <a:ext uri="{FF2B5EF4-FFF2-40B4-BE49-F238E27FC236}">
              <a16:creationId xmlns:a16="http://schemas.microsoft.com/office/drawing/2014/main" id="{97A540BC-0500-42A4-A0A2-B24C2CDB3766}"/>
            </a:ext>
          </a:extLst>
        </xdr:cNvPr>
        <xdr:cNvSpPr txBox="1"/>
      </xdr:nvSpPr>
      <xdr:spPr>
        <a:xfrm>
          <a:off x="218018" y="3766816"/>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Python</a:t>
          </a:r>
        </a:p>
      </xdr:txBody>
    </xdr:sp>
    <xdr:clientData/>
  </xdr:twoCellAnchor>
  <xdr:twoCellAnchor>
    <xdr:from>
      <xdr:col>0</xdr:col>
      <xdr:colOff>218018</xdr:colOff>
      <xdr:row>18</xdr:row>
      <xdr:rowOff>112604</xdr:rowOff>
    </xdr:from>
    <xdr:to>
      <xdr:col>1</xdr:col>
      <xdr:colOff>588435</xdr:colOff>
      <xdr:row>20</xdr:row>
      <xdr:rowOff>104138</xdr:rowOff>
    </xdr:to>
    <xdr:sp macro="" textlink="">
      <xdr:nvSpPr>
        <xdr:cNvPr id="109" name="TextBox 108">
          <a:extLst>
            <a:ext uri="{FF2B5EF4-FFF2-40B4-BE49-F238E27FC236}">
              <a16:creationId xmlns:a16="http://schemas.microsoft.com/office/drawing/2014/main" id="{8C418A22-8F61-460E-94C7-EDEC8AC3F43C}"/>
            </a:ext>
          </a:extLst>
        </xdr:cNvPr>
        <xdr:cNvSpPr txBox="1"/>
      </xdr:nvSpPr>
      <xdr:spPr>
        <a:xfrm>
          <a:off x="218018" y="3456937"/>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solidFill>
                <a:schemeClr val="bg1"/>
              </a:solidFill>
              <a:latin typeface="+mn-lt"/>
              <a:ea typeface="+mn-ea"/>
              <a:cs typeface="+mn-cs"/>
            </a:rPr>
            <a:t>Management</a:t>
          </a:r>
        </a:p>
      </xdr:txBody>
    </xdr:sp>
    <xdr:clientData/>
  </xdr:twoCellAnchor>
  <xdr:twoCellAnchor>
    <xdr:from>
      <xdr:col>0</xdr:col>
      <xdr:colOff>726017</xdr:colOff>
      <xdr:row>13</xdr:row>
      <xdr:rowOff>184148</xdr:rowOff>
    </xdr:from>
    <xdr:to>
      <xdr:col>2</xdr:col>
      <xdr:colOff>281518</xdr:colOff>
      <xdr:row>15</xdr:row>
      <xdr:rowOff>42333</xdr:rowOff>
    </xdr:to>
    <xdr:sp macro="" textlink="'Pivot Tables'!T13">
      <xdr:nvSpPr>
        <xdr:cNvPr id="110" name="TextBox 109">
          <a:extLst>
            <a:ext uri="{FF2B5EF4-FFF2-40B4-BE49-F238E27FC236}">
              <a16:creationId xmlns:a16="http://schemas.microsoft.com/office/drawing/2014/main" id="{7FC5DD3F-A459-44A2-8FBF-6D21C0400039}"/>
            </a:ext>
          </a:extLst>
        </xdr:cNvPr>
        <xdr:cNvSpPr txBox="1"/>
      </xdr:nvSpPr>
      <xdr:spPr>
        <a:xfrm>
          <a:off x="726017" y="2523065"/>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2BEDD87-3F47-4DBD-93F1-215C58A83272}" type="TxLink">
            <a:rPr lang="en-US" sz="1800" b="1" i="0" u="none" strike="noStrike">
              <a:solidFill>
                <a:srgbClr val="E5B244"/>
              </a:solidFill>
              <a:latin typeface="Aptos Narrow"/>
            </a:rPr>
            <a:t>12</a:t>
          </a:fld>
          <a:endParaRPr lang="fr-FR" sz="2400" b="1">
            <a:solidFill>
              <a:srgbClr val="E5B244"/>
            </a:solidFill>
          </a:endParaRPr>
        </a:p>
      </xdr:txBody>
    </xdr:sp>
    <xdr:clientData/>
  </xdr:twoCellAnchor>
  <xdr:twoCellAnchor>
    <xdr:from>
      <xdr:col>0</xdr:col>
      <xdr:colOff>726017</xdr:colOff>
      <xdr:row>15</xdr:row>
      <xdr:rowOff>53761</xdr:rowOff>
    </xdr:from>
    <xdr:to>
      <xdr:col>2</xdr:col>
      <xdr:colOff>281518</xdr:colOff>
      <xdr:row>17</xdr:row>
      <xdr:rowOff>45295</xdr:rowOff>
    </xdr:to>
    <xdr:sp macro="" textlink="'Pivot Tables'!T14">
      <xdr:nvSpPr>
        <xdr:cNvPr id="111" name="TextBox 110">
          <a:extLst>
            <a:ext uri="{FF2B5EF4-FFF2-40B4-BE49-F238E27FC236}">
              <a16:creationId xmlns:a16="http://schemas.microsoft.com/office/drawing/2014/main" id="{F8B2B7E6-8D4E-4C83-8B6B-7BEAECA2B5C5}"/>
            </a:ext>
          </a:extLst>
        </xdr:cNvPr>
        <xdr:cNvSpPr txBox="1"/>
      </xdr:nvSpPr>
      <xdr:spPr>
        <a:xfrm>
          <a:off x="726017" y="2858344"/>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62AF7F5-E559-4F8D-89A9-14FE25B3F038}" type="TxLink">
            <a:rPr lang="en-US" sz="1800" b="1" i="0" u="none" strike="noStrike">
              <a:solidFill>
                <a:srgbClr val="E5B244"/>
              </a:solidFill>
              <a:latin typeface="Aptos Narrow"/>
              <a:ea typeface="+mn-ea"/>
              <a:cs typeface="+mn-cs"/>
            </a:rPr>
            <a:pPr marL="0" indent="0" algn="r"/>
            <a:t>11</a:t>
          </a:fld>
          <a:endParaRPr lang="fr-FR" sz="1800" b="1" i="0" u="none" strike="noStrike">
            <a:solidFill>
              <a:srgbClr val="E5B244"/>
            </a:solidFill>
            <a:latin typeface="Aptos Narrow"/>
            <a:ea typeface="+mn-ea"/>
            <a:cs typeface="+mn-cs"/>
          </a:endParaRPr>
        </a:p>
      </xdr:txBody>
    </xdr:sp>
    <xdr:clientData/>
  </xdr:twoCellAnchor>
  <xdr:twoCellAnchor>
    <xdr:from>
      <xdr:col>0</xdr:col>
      <xdr:colOff>726017</xdr:colOff>
      <xdr:row>17</xdr:row>
      <xdr:rowOff>24974</xdr:rowOff>
    </xdr:from>
    <xdr:to>
      <xdr:col>2</xdr:col>
      <xdr:colOff>281518</xdr:colOff>
      <xdr:row>19</xdr:row>
      <xdr:rowOff>16509</xdr:rowOff>
    </xdr:to>
    <xdr:sp macro="" textlink="'Pivot Tables'!T15">
      <xdr:nvSpPr>
        <xdr:cNvPr id="112" name="TextBox 111">
          <a:extLst>
            <a:ext uri="{FF2B5EF4-FFF2-40B4-BE49-F238E27FC236}">
              <a16:creationId xmlns:a16="http://schemas.microsoft.com/office/drawing/2014/main" id="{7BD7CF30-6246-4917-ABEC-0D5104BEAD98}"/>
            </a:ext>
          </a:extLst>
        </xdr:cNvPr>
        <xdr:cNvSpPr txBox="1"/>
      </xdr:nvSpPr>
      <xdr:spPr>
        <a:xfrm>
          <a:off x="726017" y="3189391"/>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641FC74-B6F2-470B-988F-A9CAFD7E7EE8}" type="TxLink">
            <a:rPr lang="en-US" sz="1800" b="1" i="0" u="none" strike="noStrike">
              <a:solidFill>
                <a:srgbClr val="E5B244"/>
              </a:solidFill>
              <a:latin typeface="Aptos Narrow"/>
              <a:ea typeface="+mn-ea"/>
              <a:cs typeface="+mn-cs"/>
            </a:rPr>
            <a:pPr marL="0" indent="0" algn="r"/>
            <a:t>7</a:t>
          </a:fld>
          <a:endParaRPr lang="fr-FR" sz="1800" b="1" i="0" u="none" strike="noStrike">
            <a:solidFill>
              <a:srgbClr val="E5B244"/>
            </a:solidFill>
            <a:latin typeface="Aptos Narrow"/>
            <a:ea typeface="+mn-ea"/>
            <a:cs typeface="+mn-cs"/>
          </a:endParaRPr>
        </a:p>
      </xdr:txBody>
    </xdr:sp>
    <xdr:clientData/>
  </xdr:twoCellAnchor>
  <xdr:twoCellAnchor>
    <xdr:from>
      <xdr:col>0</xdr:col>
      <xdr:colOff>726017</xdr:colOff>
      <xdr:row>20</xdr:row>
      <xdr:rowOff>52066</xdr:rowOff>
    </xdr:from>
    <xdr:to>
      <xdr:col>2</xdr:col>
      <xdr:colOff>281518</xdr:colOff>
      <xdr:row>22</xdr:row>
      <xdr:rowOff>43601</xdr:rowOff>
    </xdr:to>
    <xdr:sp macro="" textlink="'Pivot Tables'!T17">
      <xdr:nvSpPr>
        <xdr:cNvPr id="113" name="TextBox 112">
          <a:extLst>
            <a:ext uri="{FF2B5EF4-FFF2-40B4-BE49-F238E27FC236}">
              <a16:creationId xmlns:a16="http://schemas.microsoft.com/office/drawing/2014/main" id="{1280B5C4-AC6D-4E0A-A5FF-D62F10631D17}"/>
            </a:ext>
          </a:extLst>
        </xdr:cNvPr>
        <xdr:cNvSpPr txBox="1"/>
      </xdr:nvSpPr>
      <xdr:spPr>
        <a:xfrm>
          <a:off x="726017" y="3756233"/>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028626CE-7C35-4A89-B912-6D0780370000}" type="TxLink">
            <a:rPr lang="en-US" sz="1800" b="1" i="0" u="none" strike="noStrike">
              <a:solidFill>
                <a:srgbClr val="E5B244"/>
              </a:solidFill>
              <a:latin typeface="Aptos Narrow"/>
              <a:ea typeface="+mn-ea"/>
              <a:cs typeface="+mn-cs"/>
            </a:rPr>
            <a:pPr marL="0" indent="0" algn="r"/>
            <a:t>9</a:t>
          </a:fld>
          <a:endParaRPr lang="fr-FR" sz="1800" b="1" i="0" u="none" strike="noStrike">
            <a:solidFill>
              <a:srgbClr val="E5B244"/>
            </a:solidFill>
            <a:latin typeface="Aptos Narrow"/>
            <a:ea typeface="+mn-ea"/>
            <a:cs typeface="+mn-cs"/>
          </a:endParaRPr>
        </a:p>
      </xdr:txBody>
    </xdr:sp>
    <xdr:clientData/>
  </xdr:twoCellAnchor>
  <xdr:twoCellAnchor>
    <xdr:from>
      <xdr:col>0</xdr:col>
      <xdr:colOff>726017</xdr:colOff>
      <xdr:row>18</xdr:row>
      <xdr:rowOff>112605</xdr:rowOff>
    </xdr:from>
    <xdr:to>
      <xdr:col>2</xdr:col>
      <xdr:colOff>281518</xdr:colOff>
      <xdr:row>20</xdr:row>
      <xdr:rowOff>104139</xdr:rowOff>
    </xdr:to>
    <xdr:sp macro="" textlink="'Pivot Tables'!T16">
      <xdr:nvSpPr>
        <xdr:cNvPr id="114" name="TextBox 113">
          <a:extLst>
            <a:ext uri="{FF2B5EF4-FFF2-40B4-BE49-F238E27FC236}">
              <a16:creationId xmlns:a16="http://schemas.microsoft.com/office/drawing/2014/main" id="{51B6A198-4B4E-498D-83A1-0B7E8E85A7F0}"/>
            </a:ext>
          </a:extLst>
        </xdr:cNvPr>
        <xdr:cNvSpPr txBox="1"/>
      </xdr:nvSpPr>
      <xdr:spPr>
        <a:xfrm>
          <a:off x="726017" y="3456938"/>
          <a:ext cx="1185334" cy="35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B6295FD-29DE-4FF4-BE9E-562D6127209F}" type="TxLink">
            <a:rPr lang="en-US" sz="1800" b="1" i="0" u="none" strike="noStrike">
              <a:solidFill>
                <a:srgbClr val="E5B244"/>
              </a:solidFill>
              <a:latin typeface="Aptos Narrow"/>
              <a:ea typeface="+mn-ea"/>
              <a:cs typeface="+mn-cs"/>
            </a:rPr>
            <a:pPr marL="0" indent="0" algn="r"/>
            <a:t>11</a:t>
          </a:fld>
          <a:endParaRPr lang="fr-FR" sz="1800" b="1" i="0" u="none" strike="noStrike">
            <a:solidFill>
              <a:srgbClr val="E5B244"/>
            </a:solidFill>
            <a:latin typeface="Aptos Narrow"/>
            <a:ea typeface="+mn-ea"/>
            <a:cs typeface="+mn-cs"/>
          </a:endParaRPr>
        </a:p>
      </xdr:txBody>
    </xdr:sp>
    <xdr:clientData/>
  </xdr:twoCellAnchor>
  <xdr:twoCellAnchor>
    <xdr:from>
      <xdr:col>0</xdr:col>
      <xdr:colOff>133351</xdr:colOff>
      <xdr:row>9</xdr:row>
      <xdr:rowOff>110064</xdr:rowOff>
    </xdr:from>
    <xdr:to>
      <xdr:col>1</xdr:col>
      <xdr:colOff>804333</xdr:colOff>
      <xdr:row>13</xdr:row>
      <xdr:rowOff>127000</xdr:rowOff>
    </xdr:to>
    <xdr:sp macro="" textlink="">
      <xdr:nvSpPr>
        <xdr:cNvPr id="115" name="TextBox 114">
          <a:extLst>
            <a:ext uri="{FF2B5EF4-FFF2-40B4-BE49-F238E27FC236}">
              <a16:creationId xmlns:a16="http://schemas.microsoft.com/office/drawing/2014/main" id="{49AB0F94-C64F-441D-A698-AE05F70038D1}"/>
            </a:ext>
          </a:extLst>
        </xdr:cNvPr>
        <xdr:cNvSpPr txBox="1"/>
      </xdr:nvSpPr>
      <xdr:spPr>
        <a:xfrm>
          <a:off x="133351" y="1729314"/>
          <a:ext cx="1485899" cy="736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800" b="1">
              <a:solidFill>
                <a:srgbClr val="E5B244"/>
              </a:solidFill>
            </a:rPr>
            <a:t>Skills Breakdown</a:t>
          </a:r>
        </a:p>
      </xdr:txBody>
    </xdr:sp>
    <xdr:clientData/>
  </xdr:twoCellAnchor>
  <xdr:twoCellAnchor editAs="oneCell">
    <xdr:from>
      <xdr:col>1</xdr:col>
      <xdr:colOff>74084</xdr:colOff>
      <xdr:row>5</xdr:row>
      <xdr:rowOff>158751</xdr:rowOff>
    </xdr:from>
    <xdr:to>
      <xdr:col>2</xdr:col>
      <xdr:colOff>232834</xdr:colOff>
      <xdr:row>11</xdr:row>
      <xdr:rowOff>52917</xdr:rowOff>
    </xdr:to>
    <xdr:pic>
      <xdr:nvPicPr>
        <xdr:cNvPr id="122" name="Picture 121">
          <a:extLst>
            <a:ext uri="{FF2B5EF4-FFF2-40B4-BE49-F238E27FC236}">
              <a16:creationId xmlns:a16="http://schemas.microsoft.com/office/drawing/2014/main" id="{9FCDBB52-87F5-4BFE-8BC6-0C0439C70E7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89001" y="1058334"/>
          <a:ext cx="973666" cy="973666"/>
        </a:xfrm>
        <a:prstGeom prst="rect">
          <a:avLst/>
        </a:prstGeom>
      </xdr:spPr>
    </xdr:pic>
    <xdr:clientData/>
  </xdr:twoCellAnchor>
  <xdr:twoCellAnchor>
    <xdr:from>
      <xdr:col>2</xdr:col>
      <xdr:colOff>582083</xdr:colOff>
      <xdr:row>8</xdr:row>
      <xdr:rowOff>74082</xdr:rowOff>
    </xdr:from>
    <xdr:to>
      <xdr:col>4</xdr:col>
      <xdr:colOff>137583</xdr:colOff>
      <xdr:row>11</xdr:row>
      <xdr:rowOff>126998</xdr:rowOff>
    </xdr:to>
    <xdr:sp macro="" textlink="'Pivot Tables'!J22">
      <xdr:nvSpPr>
        <xdr:cNvPr id="124" name="TextBox 123">
          <a:extLst>
            <a:ext uri="{FF2B5EF4-FFF2-40B4-BE49-F238E27FC236}">
              <a16:creationId xmlns:a16="http://schemas.microsoft.com/office/drawing/2014/main" id="{317DF054-D674-441C-8609-8E3F68449795}"/>
            </a:ext>
          </a:extLst>
        </xdr:cNvPr>
        <xdr:cNvSpPr txBox="1"/>
      </xdr:nvSpPr>
      <xdr:spPr>
        <a:xfrm>
          <a:off x="2211916" y="1513415"/>
          <a:ext cx="1185334" cy="592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3FE7C33-4202-4670-AA09-A60248B5DDAA}" type="TxLink">
            <a:rPr lang="en-US" sz="4000" b="1" i="0" u="none" strike="noStrike">
              <a:solidFill>
                <a:schemeClr val="bg1"/>
              </a:solidFill>
              <a:latin typeface="Aptos Narrow"/>
            </a:rPr>
            <a:pPr algn="l"/>
            <a:t>50</a:t>
          </a:fld>
          <a:endParaRPr lang="fr-FR" sz="5400" b="1">
            <a:solidFill>
              <a:schemeClr val="bg1"/>
            </a:solidFill>
          </a:endParaRPr>
        </a:p>
      </xdr:txBody>
    </xdr:sp>
    <xdr:clientData/>
  </xdr:twoCellAnchor>
  <xdr:twoCellAnchor>
    <xdr:from>
      <xdr:col>2</xdr:col>
      <xdr:colOff>592667</xdr:colOff>
      <xdr:row>11</xdr:row>
      <xdr:rowOff>63500</xdr:rowOff>
    </xdr:from>
    <xdr:to>
      <xdr:col>4</xdr:col>
      <xdr:colOff>582083</xdr:colOff>
      <xdr:row>13</xdr:row>
      <xdr:rowOff>105833</xdr:rowOff>
    </xdr:to>
    <xdr:sp macro="" textlink="">
      <xdr:nvSpPr>
        <xdr:cNvPr id="125" name="TextBox 124">
          <a:extLst>
            <a:ext uri="{FF2B5EF4-FFF2-40B4-BE49-F238E27FC236}">
              <a16:creationId xmlns:a16="http://schemas.microsoft.com/office/drawing/2014/main" id="{531DB5DD-5BE7-4A2C-A76D-AAD1A268B7D9}"/>
            </a:ext>
          </a:extLst>
        </xdr:cNvPr>
        <xdr:cNvSpPr txBox="1"/>
      </xdr:nvSpPr>
      <xdr:spPr>
        <a:xfrm>
          <a:off x="2222500" y="2042583"/>
          <a:ext cx="1619250"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200" b="1">
              <a:solidFill>
                <a:schemeClr val="bg2">
                  <a:lumMod val="90000"/>
                </a:schemeClr>
              </a:solidFill>
            </a:rPr>
            <a:t>Total Employees</a:t>
          </a:r>
        </a:p>
      </xdr:txBody>
    </xdr:sp>
    <xdr:clientData/>
  </xdr:twoCellAnchor>
  <xdr:twoCellAnchor>
    <xdr:from>
      <xdr:col>2</xdr:col>
      <xdr:colOff>592667</xdr:colOff>
      <xdr:row>6</xdr:row>
      <xdr:rowOff>148167</xdr:rowOff>
    </xdr:from>
    <xdr:to>
      <xdr:col>5</xdr:col>
      <xdr:colOff>95251</xdr:colOff>
      <xdr:row>8</xdr:row>
      <xdr:rowOff>148168</xdr:rowOff>
    </xdr:to>
    <xdr:sp macro="" textlink="">
      <xdr:nvSpPr>
        <xdr:cNvPr id="126" name="TextBox 125">
          <a:extLst>
            <a:ext uri="{FF2B5EF4-FFF2-40B4-BE49-F238E27FC236}">
              <a16:creationId xmlns:a16="http://schemas.microsoft.com/office/drawing/2014/main" id="{10C70661-0C3F-43FB-9D89-163B24983C4E}"/>
            </a:ext>
          </a:extLst>
        </xdr:cNvPr>
        <xdr:cNvSpPr txBox="1"/>
      </xdr:nvSpPr>
      <xdr:spPr>
        <a:xfrm>
          <a:off x="2222500" y="1227667"/>
          <a:ext cx="1947334" cy="35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600" b="1">
              <a:solidFill>
                <a:srgbClr val="E5B244"/>
              </a:solidFill>
            </a:rPr>
            <a:t>Employees Number</a:t>
          </a:r>
        </a:p>
      </xdr:txBody>
    </xdr:sp>
    <xdr:clientData/>
  </xdr:twoCellAnchor>
  <xdr:twoCellAnchor editAs="oneCell">
    <xdr:from>
      <xdr:col>4</xdr:col>
      <xdr:colOff>381001</xdr:colOff>
      <xdr:row>8</xdr:row>
      <xdr:rowOff>169334</xdr:rowOff>
    </xdr:from>
    <xdr:to>
      <xdr:col>5</xdr:col>
      <xdr:colOff>264931</xdr:colOff>
      <xdr:row>12</xdr:row>
      <xdr:rowOff>63500</xdr:rowOff>
    </xdr:to>
    <xdr:pic>
      <xdr:nvPicPr>
        <xdr:cNvPr id="127" name="Picture 126">
          <a:extLst>
            <a:ext uri="{FF2B5EF4-FFF2-40B4-BE49-F238E27FC236}">
              <a16:creationId xmlns:a16="http://schemas.microsoft.com/office/drawing/2014/main" id="{87F9F62F-7561-4B2F-BC6D-520FBF5DAF3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640668" y="1608667"/>
          <a:ext cx="698846" cy="613833"/>
        </a:xfrm>
        <a:prstGeom prst="rect">
          <a:avLst/>
        </a:prstGeom>
      </xdr:spPr>
    </xdr:pic>
    <xdr:clientData/>
  </xdr:twoCellAnchor>
  <xdr:twoCellAnchor>
    <xdr:from>
      <xdr:col>2</xdr:col>
      <xdr:colOff>747184</xdr:colOff>
      <xdr:row>13</xdr:row>
      <xdr:rowOff>237066</xdr:rowOff>
    </xdr:from>
    <xdr:to>
      <xdr:col>3</xdr:col>
      <xdr:colOff>793751</xdr:colOff>
      <xdr:row>15</xdr:row>
      <xdr:rowOff>84667</xdr:rowOff>
    </xdr:to>
    <xdr:sp macro="" textlink="">
      <xdr:nvSpPr>
        <xdr:cNvPr id="129" name="TextBox 128">
          <a:extLst>
            <a:ext uri="{FF2B5EF4-FFF2-40B4-BE49-F238E27FC236}">
              <a16:creationId xmlns:a16="http://schemas.microsoft.com/office/drawing/2014/main" id="{DC1D6B28-DD59-482D-A9AA-1AD2A094AD9A}"/>
            </a:ext>
          </a:extLst>
        </xdr:cNvPr>
        <xdr:cNvSpPr txBox="1"/>
      </xdr:nvSpPr>
      <xdr:spPr>
        <a:xfrm>
          <a:off x="2377017" y="2575983"/>
          <a:ext cx="861484"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600" b="1">
              <a:solidFill>
                <a:srgbClr val="E5B244"/>
              </a:solidFill>
            </a:rPr>
            <a:t>Males</a:t>
          </a:r>
        </a:p>
      </xdr:txBody>
    </xdr:sp>
    <xdr:clientData/>
  </xdr:twoCellAnchor>
  <xdr:twoCellAnchor>
    <xdr:from>
      <xdr:col>4</xdr:col>
      <xdr:colOff>412750</xdr:colOff>
      <xdr:row>13</xdr:row>
      <xdr:rowOff>232836</xdr:rowOff>
    </xdr:from>
    <xdr:to>
      <xdr:col>5</xdr:col>
      <xdr:colOff>495301</xdr:colOff>
      <xdr:row>15</xdr:row>
      <xdr:rowOff>74086</xdr:rowOff>
    </xdr:to>
    <xdr:sp macro="" textlink="">
      <xdr:nvSpPr>
        <xdr:cNvPr id="130" name="TextBox 129">
          <a:extLst>
            <a:ext uri="{FF2B5EF4-FFF2-40B4-BE49-F238E27FC236}">
              <a16:creationId xmlns:a16="http://schemas.microsoft.com/office/drawing/2014/main" id="{A21E5016-F547-4E0F-A347-CF5BDA69C79D}"/>
            </a:ext>
          </a:extLst>
        </xdr:cNvPr>
        <xdr:cNvSpPr txBox="1"/>
      </xdr:nvSpPr>
      <xdr:spPr>
        <a:xfrm>
          <a:off x="3672417" y="2571753"/>
          <a:ext cx="897467"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600" b="1">
              <a:solidFill>
                <a:srgbClr val="E5B244"/>
              </a:solidFill>
            </a:rPr>
            <a:t>Females</a:t>
          </a:r>
        </a:p>
      </xdr:txBody>
    </xdr:sp>
    <xdr:clientData/>
  </xdr:twoCellAnchor>
  <xdr:twoCellAnchor>
    <xdr:from>
      <xdr:col>2</xdr:col>
      <xdr:colOff>571502</xdr:colOff>
      <xdr:row>14</xdr:row>
      <xdr:rowOff>139698</xdr:rowOff>
    </xdr:from>
    <xdr:to>
      <xdr:col>4</xdr:col>
      <xdr:colOff>52916</xdr:colOff>
      <xdr:row>20</xdr:row>
      <xdr:rowOff>158749</xdr:rowOff>
    </xdr:to>
    <xdr:graphicFrame macro="">
      <xdr:nvGraphicFramePr>
        <xdr:cNvPr id="134" name="Chart 133">
          <a:extLst>
            <a:ext uri="{FF2B5EF4-FFF2-40B4-BE49-F238E27FC236}">
              <a16:creationId xmlns:a16="http://schemas.microsoft.com/office/drawing/2014/main" id="{8D8F5B54-CCE1-4B1D-A4BD-A9C988F25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300570</xdr:colOff>
      <xdr:row>14</xdr:row>
      <xdr:rowOff>116416</xdr:rowOff>
    </xdr:from>
    <xdr:to>
      <xdr:col>5</xdr:col>
      <xdr:colOff>596902</xdr:colOff>
      <xdr:row>20</xdr:row>
      <xdr:rowOff>135467</xdr:rowOff>
    </xdr:to>
    <xdr:graphicFrame macro="">
      <xdr:nvGraphicFramePr>
        <xdr:cNvPr id="135" name="Chart 134">
          <a:extLst>
            <a:ext uri="{FF2B5EF4-FFF2-40B4-BE49-F238E27FC236}">
              <a16:creationId xmlns:a16="http://schemas.microsoft.com/office/drawing/2014/main" id="{1CC3254C-006A-4F86-BAF2-C5E2ABE7B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42334</xdr:colOff>
      <xdr:row>16</xdr:row>
      <xdr:rowOff>158750</xdr:rowOff>
    </xdr:from>
    <xdr:to>
      <xdr:col>3</xdr:col>
      <xdr:colOff>730251</xdr:colOff>
      <xdr:row>18</xdr:row>
      <xdr:rowOff>148167</xdr:rowOff>
    </xdr:to>
    <xdr:sp macro="" textlink="'Pivot Tables'!K20">
      <xdr:nvSpPr>
        <xdr:cNvPr id="136" name="TextBox 135">
          <a:extLst>
            <a:ext uri="{FF2B5EF4-FFF2-40B4-BE49-F238E27FC236}">
              <a16:creationId xmlns:a16="http://schemas.microsoft.com/office/drawing/2014/main" id="{0C9DF9C9-08C2-43E3-8A38-8010C930F16E}"/>
            </a:ext>
          </a:extLst>
        </xdr:cNvPr>
        <xdr:cNvSpPr txBox="1"/>
      </xdr:nvSpPr>
      <xdr:spPr>
        <a:xfrm>
          <a:off x="2487084" y="3143250"/>
          <a:ext cx="687917"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2E334E-5837-4923-AE77-C0E1D4316EBB}" type="TxLink">
            <a:rPr lang="en-US" sz="1800" b="1" i="0" u="none" strike="noStrike">
              <a:solidFill>
                <a:schemeClr val="bg1"/>
              </a:solidFill>
              <a:latin typeface="Aptos Narrow"/>
            </a:rPr>
            <a:t>48%</a:t>
          </a:fld>
          <a:endParaRPr lang="fr-FR" sz="2400">
            <a:solidFill>
              <a:schemeClr val="bg1"/>
            </a:solidFill>
          </a:endParaRPr>
        </a:p>
      </xdr:txBody>
    </xdr:sp>
    <xdr:clientData/>
  </xdr:twoCellAnchor>
  <xdr:twoCellAnchor>
    <xdr:from>
      <xdr:col>4</xdr:col>
      <xdr:colOff>603249</xdr:colOff>
      <xdr:row>16</xdr:row>
      <xdr:rowOff>105833</xdr:rowOff>
    </xdr:from>
    <xdr:to>
      <xdr:col>5</xdr:col>
      <xdr:colOff>476250</xdr:colOff>
      <xdr:row>18</xdr:row>
      <xdr:rowOff>95250</xdr:rowOff>
    </xdr:to>
    <xdr:sp macro="" textlink="'Pivot Tables'!K21">
      <xdr:nvSpPr>
        <xdr:cNvPr id="137" name="TextBox 136">
          <a:extLst>
            <a:ext uri="{FF2B5EF4-FFF2-40B4-BE49-F238E27FC236}">
              <a16:creationId xmlns:a16="http://schemas.microsoft.com/office/drawing/2014/main" id="{ECB92A9A-AD2D-4B3F-BFEE-7ACAD7BD60FC}"/>
            </a:ext>
          </a:extLst>
        </xdr:cNvPr>
        <xdr:cNvSpPr txBox="1"/>
      </xdr:nvSpPr>
      <xdr:spPr>
        <a:xfrm>
          <a:off x="3862916" y="3090333"/>
          <a:ext cx="687917"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96F35A-9F80-4CD5-B49D-08BAF11B296D}" type="TxLink">
            <a:rPr lang="en-US" sz="1800" b="1" i="0" u="none" strike="noStrike">
              <a:solidFill>
                <a:schemeClr val="bg1"/>
              </a:solidFill>
              <a:latin typeface="Aptos Narrow"/>
            </a:rPr>
            <a:t>52%</a:t>
          </a:fld>
          <a:endParaRPr lang="fr-FR" sz="4000">
            <a:solidFill>
              <a:schemeClr val="bg1"/>
            </a:solidFill>
          </a:endParaRPr>
        </a:p>
      </xdr:txBody>
    </xdr:sp>
    <xdr:clientData/>
  </xdr:twoCellAnchor>
  <xdr:twoCellAnchor>
    <xdr:from>
      <xdr:col>6</xdr:col>
      <xdr:colOff>116417</xdr:colOff>
      <xdr:row>9</xdr:row>
      <xdr:rowOff>74084</xdr:rowOff>
    </xdr:from>
    <xdr:to>
      <xdr:col>9</xdr:col>
      <xdr:colOff>169332</xdr:colOff>
      <xdr:row>20</xdr:row>
      <xdr:rowOff>74083</xdr:rowOff>
    </xdr:to>
    <xdr:graphicFrame macro="">
      <xdr:nvGraphicFramePr>
        <xdr:cNvPr id="138" name="Chart 137">
          <a:extLst>
            <a:ext uri="{FF2B5EF4-FFF2-40B4-BE49-F238E27FC236}">
              <a16:creationId xmlns:a16="http://schemas.microsoft.com/office/drawing/2014/main" id="{925BA3D1-1F43-4054-8175-B6CD77113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263070</xdr:colOff>
      <xdr:row>7</xdr:row>
      <xdr:rowOff>176162</xdr:rowOff>
    </xdr:from>
    <xdr:to>
      <xdr:col>9</xdr:col>
      <xdr:colOff>146049</xdr:colOff>
      <xdr:row>9</xdr:row>
      <xdr:rowOff>52917</xdr:rowOff>
    </xdr:to>
    <xdr:sp macro="" textlink="">
      <xdr:nvSpPr>
        <xdr:cNvPr id="139" name="TextBox 138">
          <a:extLst>
            <a:ext uri="{FF2B5EF4-FFF2-40B4-BE49-F238E27FC236}">
              <a16:creationId xmlns:a16="http://schemas.microsoft.com/office/drawing/2014/main" id="{6E7546C5-3DC7-4681-ACD5-A4D9DB7F1226}"/>
            </a:ext>
          </a:extLst>
        </xdr:cNvPr>
        <xdr:cNvSpPr txBox="1"/>
      </xdr:nvSpPr>
      <xdr:spPr>
        <a:xfrm>
          <a:off x="5152570" y="1435579"/>
          <a:ext cx="2327729" cy="236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Leave Taken </a:t>
          </a:r>
          <a:r>
            <a:rPr lang="fr-FR" sz="1100" b="1" baseline="0">
              <a:solidFill>
                <a:schemeClr val="bg2">
                  <a:lumMod val="90000"/>
                </a:schemeClr>
              </a:solidFill>
            </a:rPr>
            <a:t>by Job Titles</a:t>
          </a:r>
          <a:endParaRPr lang="fr-FR" sz="1100" b="1">
            <a:solidFill>
              <a:schemeClr val="bg2">
                <a:lumMod val="90000"/>
              </a:schemeClr>
            </a:solidFill>
          </a:endParaRPr>
        </a:p>
      </xdr:txBody>
    </xdr:sp>
    <xdr:clientData/>
  </xdr:twoCellAnchor>
  <xdr:twoCellAnchor>
    <xdr:from>
      <xdr:col>6</xdr:col>
      <xdr:colOff>253999</xdr:colOff>
      <xdr:row>6</xdr:row>
      <xdr:rowOff>95251</xdr:rowOff>
    </xdr:from>
    <xdr:to>
      <xdr:col>8</xdr:col>
      <xdr:colOff>105833</xdr:colOff>
      <xdr:row>8</xdr:row>
      <xdr:rowOff>21168</xdr:rowOff>
    </xdr:to>
    <xdr:sp macro="" textlink="">
      <xdr:nvSpPr>
        <xdr:cNvPr id="140" name="TextBox 139">
          <a:extLst>
            <a:ext uri="{FF2B5EF4-FFF2-40B4-BE49-F238E27FC236}">
              <a16:creationId xmlns:a16="http://schemas.microsoft.com/office/drawing/2014/main" id="{50539B64-0AF8-47F9-B88A-349ADD717151}"/>
            </a:ext>
          </a:extLst>
        </xdr:cNvPr>
        <xdr:cNvSpPr txBox="1"/>
      </xdr:nvSpPr>
      <xdr:spPr>
        <a:xfrm>
          <a:off x="5143499" y="1174751"/>
          <a:ext cx="148166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E5B244"/>
              </a:solidFill>
            </a:rPr>
            <a:t>Leave Tracking</a:t>
          </a:r>
        </a:p>
      </xdr:txBody>
    </xdr:sp>
    <xdr:clientData/>
  </xdr:twoCellAnchor>
  <xdr:twoCellAnchor>
    <xdr:from>
      <xdr:col>9</xdr:col>
      <xdr:colOff>402167</xdr:colOff>
      <xdr:row>13</xdr:row>
      <xdr:rowOff>201084</xdr:rowOff>
    </xdr:from>
    <xdr:to>
      <xdr:col>12</xdr:col>
      <xdr:colOff>465666</xdr:colOff>
      <xdr:row>21</xdr:row>
      <xdr:rowOff>21168</xdr:rowOff>
    </xdr:to>
    <xdr:graphicFrame macro="">
      <xdr:nvGraphicFramePr>
        <xdr:cNvPr id="145" name="Chart 144">
          <a:extLst>
            <a:ext uri="{FF2B5EF4-FFF2-40B4-BE49-F238E27FC236}">
              <a16:creationId xmlns:a16="http://schemas.microsoft.com/office/drawing/2014/main" id="{1F539DC3-3FF9-4C77-B0AA-EE78E2E30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433916</xdr:colOff>
      <xdr:row>13</xdr:row>
      <xdr:rowOff>52916</xdr:rowOff>
    </xdr:from>
    <xdr:to>
      <xdr:col>12</xdr:col>
      <xdr:colOff>511629</xdr:colOff>
      <xdr:row>15</xdr:row>
      <xdr:rowOff>42335</xdr:rowOff>
    </xdr:to>
    <xdr:sp macro="" textlink="">
      <xdr:nvSpPr>
        <xdr:cNvPr id="146" name="TextBox 145">
          <a:extLst>
            <a:ext uri="{FF2B5EF4-FFF2-40B4-BE49-F238E27FC236}">
              <a16:creationId xmlns:a16="http://schemas.microsoft.com/office/drawing/2014/main" id="{9EB53070-5E87-4036-B7E1-CFB207349407}"/>
            </a:ext>
          </a:extLst>
        </xdr:cNvPr>
        <xdr:cNvSpPr txBox="1"/>
      </xdr:nvSpPr>
      <xdr:spPr>
        <a:xfrm>
          <a:off x="7768166" y="2391833"/>
          <a:ext cx="2522463" cy="4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Employees per region</a:t>
          </a:r>
        </a:p>
      </xdr:txBody>
    </xdr:sp>
    <xdr:clientData/>
  </xdr:twoCellAnchor>
  <xdr:twoCellAnchor>
    <xdr:from>
      <xdr:col>9</xdr:col>
      <xdr:colOff>435429</xdr:colOff>
      <xdr:row>11</xdr:row>
      <xdr:rowOff>148167</xdr:rowOff>
    </xdr:from>
    <xdr:to>
      <xdr:col>10</xdr:col>
      <xdr:colOff>805846</xdr:colOff>
      <xdr:row>13</xdr:row>
      <xdr:rowOff>112184</xdr:rowOff>
    </xdr:to>
    <xdr:sp macro="" textlink="">
      <xdr:nvSpPr>
        <xdr:cNvPr id="147" name="TextBox 146">
          <a:extLst>
            <a:ext uri="{FF2B5EF4-FFF2-40B4-BE49-F238E27FC236}">
              <a16:creationId xmlns:a16="http://schemas.microsoft.com/office/drawing/2014/main" id="{21BB0BFF-2FFA-490F-9F1E-63833A613444}"/>
            </a:ext>
          </a:extLst>
        </xdr:cNvPr>
        <xdr:cNvSpPr txBox="1"/>
      </xdr:nvSpPr>
      <xdr:spPr>
        <a:xfrm>
          <a:off x="7769679" y="2127250"/>
          <a:ext cx="118533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E5B244"/>
              </a:solidFill>
            </a:rPr>
            <a:t>Regions</a:t>
          </a:r>
        </a:p>
      </xdr:txBody>
    </xdr:sp>
    <xdr:clientData/>
  </xdr:twoCellAnchor>
  <xdr:twoCellAnchor>
    <xdr:from>
      <xdr:col>9</xdr:col>
      <xdr:colOff>444499</xdr:colOff>
      <xdr:row>5</xdr:row>
      <xdr:rowOff>63498</xdr:rowOff>
    </xdr:from>
    <xdr:to>
      <xdr:col>11</xdr:col>
      <xdr:colOff>10584</xdr:colOff>
      <xdr:row>8</xdr:row>
      <xdr:rowOff>179915</xdr:rowOff>
    </xdr:to>
    <xdr:sp macro="" textlink="'Pivot Tables'!Z18">
      <xdr:nvSpPr>
        <xdr:cNvPr id="148" name="TextBox 147">
          <a:extLst>
            <a:ext uri="{FF2B5EF4-FFF2-40B4-BE49-F238E27FC236}">
              <a16:creationId xmlns:a16="http://schemas.microsoft.com/office/drawing/2014/main" id="{B41E0996-9309-4152-BB26-BAEEBDD40ECE}"/>
            </a:ext>
          </a:extLst>
        </xdr:cNvPr>
        <xdr:cNvSpPr txBox="1"/>
      </xdr:nvSpPr>
      <xdr:spPr>
        <a:xfrm>
          <a:off x="7778749" y="963081"/>
          <a:ext cx="1195918" cy="656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B872747-C4F8-43BB-B4B0-F1FC557FCDE5}" type="TxLink">
            <a:rPr lang="en-US" sz="4000" b="1" i="0" u="none" strike="noStrike">
              <a:solidFill>
                <a:schemeClr val="bg1"/>
              </a:solidFill>
              <a:latin typeface="Aptos Narrow"/>
              <a:ea typeface="+mn-ea"/>
              <a:cs typeface="+mn-cs"/>
            </a:rPr>
            <a:pPr marL="0" indent="0" algn="l"/>
            <a:t>2,6</a:t>
          </a:fld>
          <a:endParaRPr lang="fr-FR" sz="4000" b="1" i="0" u="none" strike="noStrike">
            <a:solidFill>
              <a:schemeClr val="bg1"/>
            </a:solidFill>
            <a:latin typeface="Aptos Narrow"/>
            <a:ea typeface="+mn-ea"/>
            <a:cs typeface="+mn-cs"/>
          </a:endParaRPr>
        </a:p>
      </xdr:txBody>
    </xdr:sp>
    <xdr:clientData/>
  </xdr:twoCellAnchor>
  <xdr:twoCellAnchor>
    <xdr:from>
      <xdr:col>9</xdr:col>
      <xdr:colOff>412749</xdr:colOff>
      <xdr:row>8</xdr:row>
      <xdr:rowOff>95250</xdr:rowOff>
    </xdr:from>
    <xdr:to>
      <xdr:col>11</xdr:col>
      <xdr:colOff>402166</xdr:colOff>
      <xdr:row>10</xdr:row>
      <xdr:rowOff>137583</xdr:rowOff>
    </xdr:to>
    <xdr:sp macro="" textlink="">
      <xdr:nvSpPr>
        <xdr:cNvPr id="149" name="TextBox 148">
          <a:extLst>
            <a:ext uri="{FF2B5EF4-FFF2-40B4-BE49-F238E27FC236}">
              <a16:creationId xmlns:a16="http://schemas.microsoft.com/office/drawing/2014/main" id="{FE8F3F99-45F8-428E-B6C2-03AE8E47F06D}"/>
            </a:ext>
          </a:extLst>
        </xdr:cNvPr>
        <xdr:cNvSpPr txBox="1"/>
      </xdr:nvSpPr>
      <xdr:spPr>
        <a:xfrm>
          <a:off x="7746999" y="1534583"/>
          <a:ext cx="1619250"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200" b="1">
              <a:solidFill>
                <a:schemeClr val="bg2">
                  <a:lumMod val="90000"/>
                </a:schemeClr>
              </a:solidFill>
            </a:rPr>
            <a:t>Average Rating</a:t>
          </a:r>
        </a:p>
      </xdr:txBody>
    </xdr:sp>
    <xdr:clientData/>
  </xdr:twoCellAnchor>
  <xdr:twoCellAnchor>
    <xdr:from>
      <xdr:col>9</xdr:col>
      <xdr:colOff>390071</xdr:colOff>
      <xdr:row>3</xdr:row>
      <xdr:rowOff>154995</xdr:rowOff>
    </xdr:from>
    <xdr:to>
      <xdr:col>12</xdr:col>
      <xdr:colOff>273050</xdr:colOff>
      <xdr:row>5</xdr:row>
      <xdr:rowOff>31750</xdr:rowOff>
    </xdr:to>
    <xdr:sp macro="" textlink="">
      <xdr:nvSpPr>
        <xdr:cNvPr id="150" name="TextBox 149">
          <a:extLst>
            <a:ext uri="{FF2B5EF4-FFF2-40B4-BE49-F238E27FC236}">
              <a16:creationId xmlns:a16="http://schemas.microsoft.com/office/drawing/2014/main" id="{78B4D78C-92F0-4997-942D-6214BE97B5CA}"/>
            </a:ext>
          </a:extLst>
        </xdr:cNvPr>
        <xdr:cNvSpPr txBox="1"/>
      </xdr:nvSpPr>
      <xdr:spPr>
        <a:xfrm>
          <a:off x="7724321" y="694745"/>
          <a:ext cx="2327729" cy="236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bg2">
                  <a:lumMod val="90000"/>
                </a:schemeClr>
              </a:solidFill>
            </a:rPr>
            <a:t>Average Performance Rating</a:t>
          </a:r>
        </a:p>
      </xdr:txBody>
    </xdr:sp>
    <xdr:clientData/>
  </xdr:twoCellAnchor>
  <xdr:twoCellAnchor>
    <xdr:from>
      <xdr:col>9</xdr:col>
      <xdr:colOff>381000</xdr:colOff>
      <xdr:row>2</xdr:row>
      <xdr:rowOff>74083</xdr:rowOff>
    </xdr:from>
    <xdr:to>
      <xdr:col>11</xdr:col>
      <xdr:colOff>740834</xdr:colOff>
      <xdr:row>4</xdr:row>
      <xdr:rowOff>42333</xdr:rowOff>
    </xdr:to>
    <xdr:sp macro="" textlink="">
      <xdr:nvSpPr>
        <xdr:cNvPr id="151" name="TextBox 150">
          <a:extLst>
            <a:ext uri="{FF2B5EF4-FFF2-40B4-BE49-F238E27FC236}">
              <a16:creationId xmlns:a16="http://schemas.microsoft.com/office/drawing/2014/main" id="{70F0AF25-A6C7-4192-8B1D-9A7E68B0C77A}"/>
            </a:ext>
          </a:extLst>
        </xdr:cNvPr>
        <xdr:cNvSpPr txBox="1"/>
      </xdr:nvSpPr>
      <xdr:spPr>
        <a:xfrm>
          <a:off x="7715250" y="433916"/>
          <a:ext cx="1989667" cy="328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solidFill>
                <a:srgbClr val="E5B244"/>
              </a:solidFill>
            </a:rPr>
            <a:t>Performance Rating</a:t>
          </a:r>
        </a:p>
      </xdr:txBody>
    </xdr:sp>
    <xdr:clientData/>
  </xdr:twoCellAnchor>
  <xdr:twoCellAnchor editAs="oneCell">
    <xdr:from>
      <xdr:col>11</xdr:col>
      <xdr:colOff>63500</xdr:colOff>
      <xdr:row>4</xdr:row>
      <xdr:rowOff>116417</xdr:rowOff>
    </xdr:from>
    <xdr:to>
      <xdr:col>12</xdr:col>
      <xdr:colOff>179917</xdr:colOff>
      <xdr:row>9</xdr:row>
      <xdr:rowOff>148168</xdr:rowOff>
    </xdr:to>
    <xdr:pic>
      <xdr:nvPicPr>
        <xdr:cNvPr id="1026" name="Picture 1025">
          <a:extLst>
            <a:ext uri="{FF2B5EF4-FFF2-40B4-BE49-F238E27FC236}">
              <a16:creationId xmlns:a16="http://schemas.microsoft.com/office/drawing/2014/main" id="{43ED458A-8A52-44DF-B982-F91C8D5DE18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027583" y="836084"/>
          <a:ext cx="931334" cy="931334"/>
        </a:xfrm>
        <a:prstGeom prst="rect">
          <a:avLst/>
        </a:prstGeom>
      </xdr:spPr>
    </xdr:pic>
    <xdr:clientData/>
  </xdr:twoCellAnchor>
  <xdr:twoCellAnchor>
    <xdr:from>
      <xdr:col>0</xdr:col>
      <xdr:colOff>137583</xdr:colOff>
      <xdr:row>19</xdr:row>
      <xdr:rowOff>31750</xdr:rowOff>
    </xdr:from>
    <xdr:to>
      <xdr:col>0</xdr:col>
      <xdr:colOff>232831</xdr:colOff>
      <xdr:row>19</xdr:row>
      <xdr:rowOff>137584</xdr:rowOff>
    </xdr:to>
    <xdr:sp macro="" textlink="">
      <xdr:nvSpPr>
        <xdr:cNvPr id="159" name="Flowchart: Connector 158">
          <a:extLst>
            <a:ext uri="{FF2B5EF4-FFF2-40B4-BE49-F238E27FC236}">
              <a16:creationId xmlns:a16="http://schemas.microsoft.com/office/drawing/2014/main" id="{4472CA03-1D89-4D8B-8F77-06A53E9900AC}"/>
            </a:ext>
          </a:extLst>
        </xdr:cNvPr>
        <xdr:cNvSpPr/>
      </xdr:nvSpPr>
      <xdr:spPr>
        <a:xfrm>
          <a:off x="137583" y="3556000"/>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141816</xdr:colOff>
      <xdr:row>17</xdr:row>
      <xdr:rowOff>78316</xdr:rowOff>
    </xdr:from>
    <xdr:to>
      <xdr:col>0</xdr:col>
      <xdr:colOff>237064</xdr:colOff>
      <xdr:row>18</xdr:row>
      <xdr:rowOff>4234</xdr:rowOff>
    </xdr:to>
    <xdr:sp macro="" textlink="">
      <xdr:nvSpPr>
        <xdr:cNvPr id="160" name="Flowchart: Connector 159">
          <a:extLst>
            <a:ext uri="{FF2B5EF4-FFF2-40B4-BE49-F238E27FC236}">
              <a16:creationId xmlns:a16="http://schemas.microsoft.com/office/drawing/2014/main" id="{5CC21FB7-4676-4FA5-9C61-52F48B70013D}"/>
            </a:ext>
          </a:extLst>
        </xdr:cNvPr>
        <xdr:cNvSpPr/>
      </xdr:nvSpPr>
      <xdr:spPr>
        <a:xfrm>
          <a:off x="141816" y="3242733"/>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124883</xdr:colOff>
      <xdr:row>15</xdr:row>
      <xdr:rowOff>103717</xdr:rowOff>
    </xdr:from>
    <xdr:to>
      <xdr:col>0</xdr:col>
      <xdr:colOff>220131</xdr:colOff>
      <xdr:row>16</xdr:row>
      <xdr:rowOff>29634</xdr:rowOff>
    </xdr:to>
    <xdr:sp macro="" textlink="">
      <xdr:nvSpPr>
        <xdr:cNvPr id="161" name="Flowchart: Connector 160">
          <a:extLst>
            <a:ext uri="{FF2B5EF4-FFF2-40B4-BE49-F238E27FC236}">
              <a16:creationId xmlns:a16="http://schemas.microsoft.com/office/drawing/2014/main" id="{776E4C3C-BED1-47B4-8809-1B45AF50D401}"/>
            </a:ext>
          </a:extLst>
        </xdr:cNvPr>
        <xdr:cNvSpPr/>
      </xdr:nvSpPr>
      <xdr:spPr>
        <a:xfrm>
          <a:off x="124883" y="2908300"/>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118533</xdr:colOff>
      <xdr:row>14</xdr:row>
      <xdr:rowOff>44450</xdr:rowOff>
    </xdr:from>
    <xdr:to>
      <xdr:col>0</xdr:col>
      <xdr:colOff>213781</xdr:colOff>
      <xdr:row>14</xdr:row>
      <xdr:rowOff>150284</xdr:rowOff>
    </xdr:to>
    <xdr:sp macro="" textlink="">
      <xdr:nvSpPr>
        <xdr:cNvPr id="162" name="Flowchart: Connector 161">
          <a:extLst>
            <a:ext uri="{FF2B5EF4-FFF2-40B4-BE49-F238E27FC236}">
              <a16:creationId xmlns:a16="http://schemas.microsoft.com/office/drawing/2014/main" id="{06A8456C-214A-4050-A659-9D59CBC963E3}"/>
            </a:ext>
          </a:extLst>
        </xdr:cNvPr>
        <xdr:cNvSpPr/>
      </xdr:nvSpPr>
      <xdr:spPr>
        <a:xfrm>
          <a:off x="118533" y="2669117"/>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137583</xdr:colOff>
      <xdr:row>20</xdr:row>
      <xdr:rowOff>148167</xdr:rowOff>
    </xdr:from>
    <xdr:to>
      <xdr:col>0</xdr:col>
      <xdr:colOff>232831</xdr:colOff>
      <xdr:row>21</xdr:row>
      <xdr:rowOff>74085</xdr:rowOff>
    </xdr:to>
    <xdr:sp macro="" textlink="">
      <xdr:nvSpPr>
        <xdr:cNvPr id="163" name="Flowchart: Connector 162">
          <a:extLst>
            <a:ext uri="{FF2B5EF4-FFF2-40B4-BE49-F238E27FC236}">
              <a16:creationId xmlns:a16="http://schemas.microsoft.com/office/drawing/2014/main" id="{9F8C2E0D-949B-4B38-B2F6-15FDD2115694}"/>
            </a:ext>
          </a:extLst>
        </xdr:cNvPr>
        <xdr:cNvSpPr/>
      </xdr:nvSpPr>
      <xdr:spPr>
        <a:xfrm>
          <a:off x="137583" y="3852334"/>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0</xdr:col>
      <xdr:colOff>105833</xdr:colOff>
      <xdr:row>0</xdr:row>
      <xdr:rowOff>158750</xdr:rowOff>
    </xdr:from>
    <xdr:to>
      <xdr:col>0</xdr:col>
      <xdr:colOff>715357</xdr:colOff>
      <xdr:row>3</xdr:row>
      <xdr:rowOff>0</xdr:rowOff>
    </xdr:to>
    <xdr:pic>
      <xdr:nvPicPr>
        <xdr:cNvPr id="1030" name="Picture 1029">
          <a:extLst>
            <a:ext uri="{FF2B5EF4-FFF2-40B4-BE49-F238E27FC236}">
              <a16:creationId xmlns:a16="http://schemas.microsoft.com/office/drawing/2014/main" id="{A2A5266D-F034-4961-A2AA-51DE3DA2E12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05833" y="158750"/>
          <a:ext cx="609524" cy="381000"/>
        </a:xfrm>
        <a:prstGeom prst="rect">
          <a:avLst/>
        </a:prstGeom>
      </xdr:spPr>
    </xdr:pic>
    <xdr:clientData/>
  </xdr:twoCellAnchor>
  <xdr:twoCellAnchor editAs="oneCell">
    <xdr:from>
      <xdr:col>0</xdr:col>
      <xdr:colOff>137584</xdr:colOff>
      <xdr:row>2</xdr:row>
      <xdr:rowOff>74084</xdr:rowOff>
    </xdr:from>
    <xdr:to>
      <xdr:col>0</xdr:col>
      <xdr:colOff>709084</xdr:colOff>
      <xdr:row>5</xdr:row>
      <xdr:rowOff>105834</xdr:rowOff>
    </xdr:to>
    <xdr:pic>
      <xdr:nvPicPr>
        <xdr:cNvPr id="1028" name="Picture 1027">
          <a:extLst>
            <a:ext uri="{FF2B5EF4-FFF2-40B4-BE49-F238E27FC236}">
              <a16:creationId xmlns:a16="http://schemas.microsoft.com/office/drawing/2014/main" id="{D80EF7A4-988F-472B-BDB8-F4764B288DE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7584" y="433917"/>
          <a:ext cx="571500" cy="571500"/>
        </a:xfrm>
        <a:prstGeom prst="rect">
          <a:avLst/>
        </a:prstGeom>
      </xdr:spPr>
    </xdr:pic>
    <xdr:clientData/>
  </xdr:twoCellAnchor>
  <xdr:twoCellAnchor>
    <xdr:from>
      <xdr:col>0</xdr:col>
      <xdr:colOff>740833</xdr:colOff>
      <xdr:row>0</xdr:row>
      <xdr:rowOff>105833</xdr:rowOff>
    </xdr:from>
    <xdr:to>
      <xdr:col>3</xdr:col>
      <xdr:colOff>476250</xdr:colOff>
      <xdr:row>6</xdr:row>
      <xdr:rowOff>52917</xdr:rowOff>
    </xdr:to>
    <xdr:sp macro="" textlink="">
      <xdr:nvSpPr>
        <xdr:cNvPr id="168" name="TextBox 167">
          <a:extLst>
            <a:ext uri="{FF2B5EF4-FFF2-40B4-BE49-F238E27FC236}">
              <a16:creationId xmlns:a16="http://schemas.microsoft.com/office/drawing/2014/main" id="{144DF083-F6A2-4FA7-831E-0FB388197D04}"/>
            </a:ext>
          </a:extLst>
        </xdr:cNvPr>
        <xdr:cNvSpPr txBox="1"/>
      </xdr:nvSpPr>
      <xdr:spPr>
        <a:xfrm>
          <a:off x="740833" y="105833"/>
          <a:ext cx="2180167" cy="1026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b="1">
              <a:solidFill>
                <a:srgbClr val="E5B244"/>
              </a:solidFill>
            </a:rPr>
            <a:t>HR </a:t>
          </a:r>
          <a:r>
            <a:rPr lang="fr-FR" sz="2400" b="1">
              <a:solidFill>
                <a:srgbClr val="E5B244"/>
              </a:solidFill>
            </a:rPr>
            <a:t>Dashboard</a:t>
          </a:r>
          <a:endParaRPr lang="fr-FR" sz="2000" b="1">
            <a:solidFill>
              <a:srgbClr val="E5B244"/>
            </a:solidFill>
          </a:endParaRPr>
        </a:p>
        <a:p>
          <a:r>
            <a:rPr lang="fr-FR" sz="1100" b="1">
              <a:solidFill>
                <a:schemeClr val="bg2">
                  <a:lumMod val="90000"/>
                </a:schemeClr>
              </a:solidFill>
              <a:latin typeface="+mn-lt"/>
              <a:ea typeface="+mn-ea"/>
              <a:cs typeface="+mn-cs"/>
            </a:rPr>
            <a:t>Analyse and monitor the HR department</a:t>
          </a:r>
        </a:p>
      </xdr:txBody>
    </xdr:sp>
    <xdr:clientData/>
  </xdr:twoCellAnchor>
  <xdr:twoCellAnchor editAs="oneCell">
    <xdr:from>
      <xdr:col>3</xdr:col>
      <xdr:colOff>497419</xdr:colOff>
      <xdr:row>1</xdr:row>
      <xdr:rowOff>31751</xdr:rowOff>
    </xdr:from>
    <xdr:to>
      <xdr:col>5</xdr:col>
      <xdr:colOff>696386</xdr:colOff>
      <xdr:row>4</xdr:row>
      <xdr:rowOff>148166</xdr:rowOff>
    </xdr:to>
    <mc:AlternateContent xmlns:mc="http://schemas.openxmlformats.org/markup-compatibility/2006">
      <mc:Choice xmlns:a14="http://schemas.microsoft.com/office/drawing/2010/main" Requires="a14">
        <xdr:graphicFrame macro="">
          <xdr:nvGraphicFramePr>
            <xdr:cNvPr id="169" name="Gender">
              <a:extLst>
                <a:ext uri="{FF2B5EF4-FFF2-40B4-BE49-F238E27FC236}">
                  <a16:creationId xmlns:a16="http://schemas.microsoft.com/office/drawing/2014/main" id="{403F8B66-6DA0-471F-B290-D15BDAAE1F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942169" y="211668"/>
              <a:ext cx="1828800" cy="65616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772586</xdr:colOff>
      <xdr:row>1</xdr:row>
      <xdr:rowOff>31751</xdr:rowOff>
    </xdr:from>
    <xdr:to>
      <xdr:col>9</xdr:col>
      <xdr:colOff>95251</xdr:colOff>
      <xdr:row>6</xdr:row>
      <xdr:rowOff>10585</xdr:rowOff>
    </xdr:to>
    <mc:AlternateContent xmlns:mc="http://schemas.openxmlformats.org/markup-compatibility/2006">
      <mc:Choice xmlns:a14="http://schemas.microsoft.com/office/drawing/2010/main" Requires="a14">
        <xdr:graphicFrame macro="">
          <xdr:nvGraphicFramePr>
            <xdr:cNvPr id="170" name="Department">
              <a:extLst>
                <a:ext uri="{FF2B5EF4-FFF2-40B4-BE49-F238E27FC236}">
                  <a16:creationId xmlns:a16="http://schemas.microsoft.com/office/drawing/2014/main" id="{CA111E90-339E-441B-8D48-A67225B5D52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847169" y="211668"/>
              <a:ext cx="2582332" cy="878417"/>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116417</xdr:colOff>
      <xdr:row>1</xdr:row>
      <xdr:rowOff>0</xdr:rowOff>
    </xdr:from>
    <xdr:to>
      <xdr:col>8</xdr:col>
      <xdr:colOff>74084</xdr:colOff>
      <xdr:row>2</xdr:row>
      <xdr:rowOff>63502</xdr:rowOff>
    </xdr:to>
    <xdr:sp macro="" textlink="">
      <xdr:nvSpPr>
        <xdr:cNvPr id="171" name="TextBox 170">
          <a:extLst>
            <a:ext uri="{FF2B5EF4-FFF2-40B4-BE49-F238E27FC236}">
              <a16:creationId xmlns:a16="http://schemas.microsoft.com/office/drawing/2014/main" id="{3FA19302-464B-4440-83A7-E22837DE32DE}"/>
            </a:ext>
          </a:extLst>
        </xdr:cNvPr>
        <xdr:cNvSpPr txBox="1"/>
      </xdr:nvSpPr>
      <xdr:spPr>
        <a:xfrm>
          <a:off x="5005917" y="179917"/>
          <a:ext cx="1587500" cy="243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a:solidFill>
                <a:schemeClr val="bg1"/>
              </a:solidFill>
            </a:rPr>
            <a:t>Filter by department</a:t>
          </a:r>
        </a:p>
      </xdr:txBody>
    </xdr:sp>
    <xdr:clientData/>
  </xdr:twoCellAnchor>
  <xdr:twoCellAnchor>
    <xdr:from>
      <xdr:col>3</xdr:col>
      <xdr:colOff>613832</xdr:colOff>
      <xdr:row>1</xdr:row>
      <xdr:rowOff>0</xdr:rowOff>
    </xdr:from>
    <xdr:to>
      <xdr:col>5</xdr:col>
      <xdr:colOff>232834</xdr:colOff>
      <xdr:row>2</xdr:row>
      <xdr:rowOff>127000</xdr:rowOff>
    </xdr:to>
    <xdr:sp macro="" textlink="">
      <xdr:nvSpPr>
        <xdr:cNvPr id="172" name="TextBox 171">
          <a:extLst>
            <a:ext uri="{FF2B5EF4-FFF2-40B4-BE49-F238E27FC236}">
              <a16:creationId xmlns:a16="http://schemas.microsoft.com/office/drawing/2014/main" id="{997ADC7B-9762-485C-8C32-21C7DDBA8F55}"/>
            </a:ext>
          </a:extLst>
        </xdr:cNvPr>
        <xdr:cNvSpPr txBox="1"/>
      </xdr:nvSpPr>
      <xdr:spPr>
        <a:xfrm>
          <a:off x="3058582" y="179917"/>
          <a:ext cx="124883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a:solidFill>
                <a:schemeClr val="bg1"/>
              </a:solidFill>
            </a:rPr>
            <a:t>Filter by gender</a:t>
          </a:r>
        </a:p>
      </xdr:txBody>
    </xdr:sp>
    <xdr:clientData/>
  </xdr:twoCellAnchor>
  <xdr:twoCellAnchor>
    <xdr:from>
      <xdr:col>6</xdr:col>
      <xdr:colOff>52917</xdr:colOff>
      <xdr:row>1</xdr:row>
      <xdr:rowOff>105832</xdr:rowOff>
    </xdr:from>
    <xdr:to>
      <xdr:col>6</xdr:col>
      <xdr:colOff>148165</xdr:colOff>
      <xdr:row>2</xdr:row>
      <xdr:rowOff>31750</xdr:rowOff>
    </xdr:to>
    <xdr:sp macro="" textlink="">
      <xdr:nvSpPr>
        <xdr:cNvPr id="173" name="Flowchart: Connector 172">
          <a:extLst>
            <a:ext uri="{FF2B5EF4-FFF2-40B4-BE49-F238E27FC236}">
              <a16:creationId xmlns:a16="http://schemas.microsoft.com/office/drawing/2014/main" id="{EE955E41-88C9-4F04-99AE-05D17971479F}"/>
            </a:ext>
          </a:extLst>
        </xdr:cNvPr>
        <xdr:cNvSpPr/>
      </xdr:nvSpPr>
      <xdr:spPr>
        <a:xfrm>
          <a:off x="4942417" y="285749"/>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3</xdr:col>
      <xdr:colOff>539750</xdr:colOff>
      <xdr:row>1</xdr:row>
      <xdr:rowOff>95250</xdr:rowOff>
    </xdr:from>
    <xdr:to>
      <xdr:col>3</xdr:col>
      <xdr:colOff>634998</xdr:colOff>
      <xdr:row>2</xdr:row>
      <xdr:rowOff>21168</xdr:rowOff>
    </xdr:to>
    <xdr:sp macro="" textlink="">
      <xdr:nvSpPr>
        <xdr:cNvPr id="174" name="Flowchart: Connector 173">
          <a:extLst>
            <a:ext uri="{FF2B5EF4-FFF2-40B4-BE49-F238E27FC236}">
              <a16:creationId xmlns:a16="http://schemas.microsoft.com/office/drawing/2014/main" id="{EE510AF9-CCDC-458D-8E7C-A92F634CD7F0}"/>
            </a:ext>
          </a:extLst>
        </xdr:cNvPr>
        <xdr:cNvSpPr/>
      </xdr:nvSpPr>
      <xdr:spPr>
        <a:xfrm>
          <a:off x="2984500" y="275167"/>
          <a:ext cx="95248" cy="105834"/>
        </a:xfrm>
        <a:prstGeom prst="flowChartConnector">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44.846931018517" createdVersion="7" refreshedVersion="7" minRefreshableVersion="3" recordCount="50" xr:uid="{F99569E1-EEC4-433A-8533-C5CA74E1F494}">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020565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08CA1A-4780-4379-B5B2-023E54794412}" name="PivotTable8"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Y4:Z10"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
    <format dxfId="168">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981B6-7304-43CC-B716-D381DC74CEC4}" name="PivotTable7"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V4:W10"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05AE36-65F8-4230-99E8-EFA61F33F41F}" name="PivotTable4"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4:T10"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637D40-FC3F-4729-A462-800E6819A132}" name="PivotTable3"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4:O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501EBB-1E71-44C6-A438-DFC24C378D28}" name="PivotTable2"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I4:L11"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E6CE08-0644-4E82-A6B6-60035D0D8FD3}" name="PivotTable1"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G10"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9">
    <format dxfId="172">
      <pivotArea type="all" dataOnly="0" outline="0" fieldPosition="0"/>
    </format>
    <format dxfId="173">
      <pivotArea outline="0" collapsedLevelsAreSubtotals="1" fieldPosition="0"/>
    </format>
    <format dxfId="174">
      <pivotArea field="6" type="button" dataOnly="0" labelOnly="1" outline="0" axis="axisRow" fieldPosition="0"/>
    </format>
    <format dxfId="175">
      <pivotArea dataOnly="0" labelOnly="1" fieldPosition="0">
        <references count="1">
          <reference field="6" count="0"/>
        </references>
      </pivotArea>
    </format>
    <format dxfId="176">
      <pivotArea dataOnly="0" labelOnly="1" grandRow="1" outline="0" fieldPosition="0"/>
    </format>
    <format dxfId="177">
      <pivotArea dataOnly="0" labelOnly="1" outline="0" axis="axisValues" fieldPosition="0"/>
    </format>
    <format dxfId="171">
      <pivotArea collapsedLevelsAreSubtotals="1" fieldPosition="0">
        <references count="1">
          <reference field="6" count="0"/>
        </references>
      </pivotArea>
    </format>
    <format dxfId="170">
      <pivotArea dataOnly="0" labelOnly="1" outline="0" axis="axisValues" fieldPosition="0"/>
    </format>
    <format dxfId="169">
      <pivotArea collapsedLevelsAreSubtotals="1" fieldPosition="0">
        <references count="2">
          <reference field="4294967294" count="1" selected="0">
            <x v="0"/>
          </reference>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49F8B7-7B83-4A66-83AA-3574DD1659E7}" name="Tableau croisé dynamique5" cacheId="17"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B4:C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Nombre de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09AEDF-9B3E-4666-AECC-43E1836EDF30}" sourceName="Gender">
  <pivotTables>
    <pivotTable tabId="3" name="PivotTable1"/>
    <pivotTable tabId="3" name="PivotTable2"/>
    <pivotTable tabId="3" name="PivotTable3"/>
    <pivotTable tabId="3" name="PivotTable4"/>
    <pivotTable tabId="3" name="PivotTable7"/>
    <pivotTable tabId="3" name="PivotTable8"/>
    <pivotTable tabId="3" name="Tableau croisé dynamique5"/>
  </pivotTables>
  <data>
    <tabular pivotCacheId="10205654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40E2052-6AF1-4B85-B058-D2CB5CF1E13E}" sourceName="Department">
  <pivotTables>
    <pivotTable tabId="3" name="PivotTable1"/>
    <pivotTable tabId="3" name="PivotTable2"/>
    <pivotTable tabId="3" name="PivotTable3"/>
    <pivotTable tabId="3" name="PivotTable4"/>
    <pivotTable tabId="3" name="PivotTable7"/>
    <pivotTable tabId="3" name="PivotTable8"/>
    <pivotTable tabId="3" name="Tableau croisé dynamique5"/>
  </pivotTables>
  <data>
    <tabular pivotCacheId="1020565448">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9108F90-F127-44ED-BF7E-F42912B8FF1B}" cache="Slicer_Gender" caption="Gender" columnCount="2" style="Slicer Style 2" rowHeight="230716"/>
  <slicer name="Department" xr10:uid="{068E886A-2250-4BF3-A915-5481100731BA}" cache="Slicer_Department" caption="Department" columnCount="3" style="Slicer Style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200" dataDxfId="199">
  <autoFilter ref="A1:U51" xr:uid="{BD7F130C-4931-4EC9-8AE2-A64F6556D3A3}"/>
  <tableColumns count="21">
    <tableColumn id="1" xr3:uid="{6BDBB43D-1DF4-4FF3-9C56-0E3D699A83FC}" name="Employee ID" dataDxfId="198"/>
    <tableColumn id="2" xr3:uid="{363D91B7-21AD-4B4B-86DE-95D24769EAA5}" name="Full Name" dataDxfId="197"/>
    <tableColumn id="3" xr3:uid="{728245EC-9766-45F5-9851-7FEFEFBE2652}" name="Gender" dataDxfId="196"/>
    <tableColumn id="4" xr3:uid="{DD8A90D1-163F-4B0E-A039-9E7A16AFC106}" name="Age" dataDxfId="195"/>
    <tableColumn id="5" xr3:uid="{0672993B-A00D-49AE-84B7-674089468A17}" name="Age range" dataDxfId="194"/>
    <tableColumn id="6" xr3:uid="{B1ADEE80-60F1-4EE3-B3FB-8484EE6C17B3}" name="Region" dataDxfId="193"/>
    <tableColumn id="7" xr3:uid="{8E0A56EE-3456-4513-ADA0-27F6CAA8C17B}" name="Job Title" dataDxfId="192"/>
    <tableColumn id="8" xr3:uid="{0D9D5DB9-01CB-4300-B0CD-256901621ADC}" name="Department" dataDxfId="191"/>
    <tableColumn id="9" xr3:uid="{9EBDAC3F-6A39-4A78-B562-848691EE3AD1}" name="Manager/Supervisor" dataDxfId="190"/>
    <tableColumn id="10" xr3:uid="{AF849F24-150A-4123-B3F8-A46B4D4F7BC6}" name="Date of Hire" dataDxfId="189"/>
    <tableColumn id="11" xr3:uid="{8C57202E-334A-462A-9C44-E5E2468122E4}" name="Employment Status" dataDxfId="188"/>
    <tableColumn id="12" xr3:uid="{8A07812C-245C-4D55-A210-3AE7E0BB84EB}" name="Work Location" dataDxfId="187"/>
    <tableColumn id="13" xr3:uid="{6441036C-01DD-4130-8E4B-DBA441BCB744}" name="Salary" dataDxfId="186"/>
    <tableColumn id="14" xr3:uid="{ADCF531A-A98E-422C-939D-04D58C2423FB}" name="Pay Grade" dataDxfId="185"/>
    <tableColumn id="15" xr3:uid="{DE922695-AE31-4F31-8F89-61E6E7E646AB}" name="Bonus/Allowances" dataDxfId="184"/>
    <tableColumn id="16" xr3:uid="{62F2B816-9954-4A01-AEDC-4C13B3A2A52F}" name="Insurance Details" dataDxfId="183"/>
    <tableColumn id="17" xr3:uid="{6EFEC335-9B75-45D5-B403-A8A9E557BE24}" name="Leave Taken" dataDxfId="182"/>
    <tableColumn id="18" xr3:uid="{9DA1B78E-154E-42E4-A1BC-FE1CF363DCBA}" name="Performance Rating" dataDxfId="181"/>
    <tableColumn id="19" xr3:uid="{7E4B5E79-5639-4E3A-91A1-D1D8767BB705}" name="Training Programs Attended" dataDxfId="180"/>
    <tableColumn id="20" xr3:uid="{2E731344-8C6D-4001-9E36-F16B80500F61}" name="Skills" dataDxfId="179"/>
    <tableColumn id="21" xr3:uid="{9DCE550B-F788-4423-B330-CAB70C041DFC}" name="Certifications" dataDxfId="17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abSelected="1" zoomScale="70" zoomScaleNormal="70" workbookViewId="0">
      <selection activeCell="C13" sqref="C13"/>
    </sheetView>
  </sheetViews>
  <sheetFormatPr defaultColWidth="9.1640625" defaultRowHeight="14"/>
  <cols>
    <col min="1" max="1" width="17.75" style="2" bestFit="1" customWidth="1"/>
    <col min="2" max="2" width="18.1640625" style="2" bestFit="1" customWidth="1"/>
    <col min="3" max="3" width="12.83203125" style="2" bestFit="1" customWidth="1"/>
    <col min="4" max="4" width="9.58203125" style="2" bestFit="1" customWidth="1"/>
    <col min="5" max="5" width="15.83203125" style="2" bestFit="1" customWidth="1"/>
    <col min="6" max="6" width="12.25" style="2" bestFit="1" customWidth="1"/>
    <col min="7" max="7" width="14.1640625" style="2" bestFit="1" customWidth="1"/>
    <col min="8" max="8" width="17.4140625" style="2" bestFit="1" customWidth="1"/>
    <col min="9" max="9" width="25.75" style="2" bestFit="1" customWidth="1"/>
    <col min="10" max="10" width="18" style="2" bestFit="1" customWidth="1"/>
    <col min="11" max="11" width="25" style="2" bestFit="1" customWidth="1"/>
    <col min="12" max="12" width="20.25" style="2" bestFit="1" customWidth="1"/>
    <col min="13" max="13" width="11.83203125" style="2" bestFit="1" customWidth="1"/>
    <col min="14" max="14" width="16.1640625" style="2" bestFit="1" customWidth="1"/>
    <col min="15" max="15" width="24" style="2" bestFit="1" customWidth="1"/>
    <col min="16" max="16" width="22.75" style="2" bestFit="1" customWidth="1"/>
    <col min="17" max="17" width="18.1640625" style="2" bestFit="1" customWidth="1"/>
    <col min="18" max="18" width="25.4140625" style="2" bestFit="1" customWidth="1"/>
    <col min="19" max="19" width="34" style="2" bestFit="1" customWidth="1"/>
    <col min="20" max="20" width="16" style="2" bestFit="1" customWidth="1"/>
    <col min="21" max="21" width="21.1640625" style="2" bestFit="1" customWidth="1"/>
    <col min="22" max="16384" width="9.164062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761BB-640D-43B3-A81C-14F46BE804B4}">
  <dimension ref="P14"/>
  <sheetViews>
    <sheetView showGridLines="0" zoomScale="60" zoomScaleNormal="60" workbookViewId="0">
      <selection activeCell="Q16" sqref="Q16"/>
    </sheetView>
  </sheetViews>
  <sheetFormatPr defaultColWidth="10.6640625" defaultRowHeight="14"/>
  <cols>
    <col min="1" max="16384" width="10.6640625" style="4"/>
  </cols>
  <sheetData>
    <row r="14" spans="16:16" ht="22.5">
      <c r="P14"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9AC69-F1F6-4D57-BFBB-FF715AA306DF}">
  <dimension ref="B2:Z22"/>
  <sheetViews>
    <sheetView zoomScale="60" zoomScaleNormal="60" workbookViewId="0">
      <selection activeCell="G7" sqref="G7"/>
    </sheetView>
  </sheetViews>
  <sheetFormatPr defaultColWidth="10.6640625" defaultRowHeight="14"/>
  <cols>
    <col min="1" max="1" width="3.6640625" customWidth="1"/>
    <col min="2" max="2" width="14.6640625" bestFit="1" customWidth="1"/>
    <col min="3" max="3" width="20.5" bestFit="1" customWidth="1"/>
    <col min="4" max="4" width="3.6640625" customWidth="1"/>
    <col min="5" max="5" width="14.6640625" style="10" bestFit="1" customWidth="1"/>
    <col min="6" max="6" width="13.58203125" style="10" bestFit="1" customWidth="1"/>
    <col min="7" max="7" width="19.4140625" bestFit="1" customWidth="1"/>
    <col min="8" max="8" width="6.9140625" customWidth="1"/>
    <col min="9" max="9" width="18.1640625" bestFit="1" customWidth="1"/>
    <col min="10" max="10" width="17.75" bestFit="1" customWidth="1"/>
    <col min="11" max="11" width="5.25" bestFit="1" customWidth="1"/>
    <col min="12" max="12" width="11.33203125" bestFit="1" customWidth="1"/>
    <col min="13" max="13" width="6.9140625" customWidth="1"/>
    <col min="14" max="14" width="14.6640625" bestFit="1" customWidth="1"/>
    <col min="15" max="15" width="18.1640625" bestFit="1" customWidth="1"/>
    <col min="18" max="18" width="8" customWidth="1"/>
    <col min="19" max="19" width="14.6640625" bestFit="1" customWidth="1"/>
    <col min="20" max="20" width="18.1640625" bestFit="1" customWidth="1"/>
    <col min="22" max="22" width="14.6640625" bestFit="1" customWidth="1"/>
    <col min="23" max="23" width="18.1640625" bestFit="1" customWidth="1"/>
    <col min="24" max="24" width="6.75" customWidth="1"/>
    <col min="25" max="25" width="14.6640625" bestFit="1" customWidth="1"/>
    <col min="26" max="26" width="29.4140625" bestFit="1" customWidth="1"/>
  </cols>
  <sheetData>
    <row r="2" spans="2:26" ht="19.5" customHeight="1">
      <c r="B2" s="8" t="s">
        <v>215</v>
      </c>
      <c r="C2" s="8"/>
      <c r="E2" s="8" t="s">
        <v>220</v>
      </c>
      <c r="F2" s="8"/>
      <c r="G2" s="8"/>
      <c r="I2" s="8" t="s">
        <v>223</v>
      </c>
      <c r="J2" s="8"/>
      <c r="K2" s="8"/>
      <c r="L2" s="8"/>
      <c r="N2" s="8" t="s">
        <v>224</v>
      </c>
      <c r="O2" s="8"/>
      <c r="S2" s="8" t="s">
        <v>19</v>
      </c>
      <c r="T2" s="8"/>
      <c r="V2" s="8" t="s">
        <v>226</v>
      </c>
      <c r="W2" s="8"/>
      <c r="Y2" s="8" t="s">
        <v>227</v>
      </c>
      <c r="Z2" s="8"/>
    </row>
    <row r="4" spans="2:26">
      <c r="B4" s="5" t="s">
        <v>217</v>
      </c>
      <c r="C4" t="s">
        <v>214</v>
      </c>
      <c r="E4" s="11" t="s">
        <v>217</v>
      </c>
      <c r="F4" s="10" t="s">
        <v>219</v>
      </c>
      <c r="G4" s="10" t="s">
        <v>225</v>
      </c>
      <c r="H4" s="10"/>
      <c r="I4" s="5" t="s">
        <v>222</v>
      </c>
      <c r="J4" s="5" t="s">
        <v>221</v>
      </c>
      <c r="N4" s="5" t="s">
        <v>217</v>
      </c>
      <c r="O4" t="s">
        <v>222</v>
      </c>
      <c r="S4" s="5" t="s">
        <v>217</v>
      </c>
      <c r="T4" t="s">
        <v>222</v>
      </c>
      <c r="V4" s="5" t="s">
        <v>217</v>
      </c>
      <c r="W4" t="s">
        <v>222</v>
      </c>
      <c r="Y4" s="5" t="s">
        <v>217</v>
      </c>
      <c r="Z4" t="s">
        <v>228</v>
      </c>
    </row>
    <row r="5" spans="2:26">
      <c r="B5" s="6" t="s">
        <v>63</v>
      </c>
      <c r="C5" s="7">
        <v>17</v>
      </c>
      <c r="E5" s="12" t="s">
        <v>121</v>
      </c>
      <c r="F5" s="14">
        <v>167041</v>
      </c>
      <c r="G5" s="14">
        <v>28</v>
      </c>
      <c r="H5" s="14"/>
      <c r="I5" s="5" t="s">
        <v>217</v>
      </c>
      <c r="J5" t="s">
        <v>22</v>
      </c>
      <c r="K5" t="s">
        <v>37</v>
      </c>
      <c r="L5" t="s">
        <v>218</v>
      </c>
      <c r="N5" s="6" t="s">
        <v>44</v>
      </c>
      <c r="O5" s="7">
        <v>23</v>
      </c>
      <c r="S5" s="6" t="s">
        <v>75</v>
      </c>
      <c r="T5" s="7">
        <v>12</v>
      </c>
      <c r="V5" s="6" t="s">
        <v>39</v>
      </c>
      <c r="W5" s="7">
        <v>14</v>
      </c>
      <c r="Y5" s="6" t="s">
        <v>26</v>
      </c>
      <c r="Z5" s="19">
        <v>2.5833333333333335</v>
      </c>
    </row>
    <row r="6" spans="2:26">
      <c r="B6" s="6" t="s">
        <v>29</v>
      </c>
      <c r="C6" s="7">
        <v>20</v>
      </c>
      <c r="E6" s="12" t="s">
        <v>40</v>
      </c>
      <c r="F6" s="14">
        <v>613842</v>
      </c>
      <c r="G6" s="14">
        <v>110</v>
      </c>
      <c r="H6" s="14"/>
      <c r="I6" s="6" t="s">
        <v>23</v>
      </c>
      <c r="J6" s="7">
        <v>6</v>
      </c>
      <c r="K6" s="7">
        <v>3</v>
      </c>
      <c r="L6" s="7">
        <v>9</v>
      </c>
      <c r="N6" s="6" t="s">
        <v>30</v>
      </c>
      <c r="O6" s="7">
        <v>8</v>
      </c>
      <c r="S6" s="6" t="s">
        <v>34</v>
      </c>
      <c r="T6" s="7">
        <v>11</v>
      </c>
      <c r="V6" s="6" t="s">
        <v>24</v>
      </c>
      <c r="W6" s="7">
        <v>10</v>
      </c>
      <c r="Y6" s="6" t="s">
        <v>41</v>
      </c>
      <c r="Z6" s="19">
        <v>3.3</v>
      </c>
    </row>
    <row r="7" spans="2:26">
      <c r="B7" s="6" t="s">
        <v>111</v>
      </c>
      <c r="C7" s="7">
        <v>13</v>
      </c>
      <c r="E7" s="12" t="s">
        <v>72</v>
      </c>
      <c r="F7" s="14">
        <v>633594</v>
      </c>
      <c r="G7" s="14">
        <v>104</v>
      </c>
      <c r="H7" s="14"/>
      <c r="I7" s="6" t="s">
        <v>38</v>
      </c>
      <c r="J7" s="7">
        <v>7</v>
      </c>
      <c r="K7" s="7">
        <v>6</v>
      </c>
      <c r="L7" s="7">
        <v>13</v>
      </c>
      <c r="N7" s="6" t="s">
        <v>54</v>
      </c>
      <c r="O7" s="7">
        <v>19</v>
      </c>
      <c r="S7" s="6" t="s">
        <v>96</v>
      </c>
      <c r="T7" s="7">
        <v>7</v>
      </c>
      <c r="V7" s="6" t="s">
        <v>102</v>
      </c>
      <c r="W7" s="7">
        <v>7</v>
      </c>
      <c r="Y7" s="6" t="s">
        <v>81</v>
      </c>
      <c r="Z7" s="19">
        <v>2.25</v>
      </c>
    </row>
    <row r="8" spans="2:26">
      <c r="B8" s="6" t="s">
        <v>218</v>
      </c>
      <c r="C8" s="7">
        <v>50</v>
      </c>
      <c r="E8" s="12" t="s">
        <v>50</v>
      </c>
      <c r="F8" s="14">
        <v>959266</v>
      </c>
      <c r="G8" s="14">
        <v>123</v>
      </c>
      <c r="H8" s="14"/>
      <c r="I8" s="6" t="s">
        <v>59</v>
      </c>
      <c r="J8" s="7">
        <v>5</v>
      </c>
      <c r="K8" s="7">
        <v>7</v>
      </c>
      <c r="L8" s="7">
        <v>12</v>
      </c>
      <c r="N8" s="6" t="s">
        <v>218</v>
      </c>
      <c r="O8" s="7">
        <v>50</v>
      </c>
      <c r="S8" s="6" t="s">
        <v>56</v>
      </c>
      <c r="T8" s="7">
        <v>11</v>
      </c>
      <c r="V8" s="6" t="s">
        <v>80</v>
      </c>
      <c r="W8" s="7">
        <v>10</v>
      </c>
      <c r="Y8" s="6" t="s">
        <v>51</v>
      </c>
      <c r="Z8" s="19">
        <v>2.3636363636363638</v>
      </c>
    </row>
    <row r="9" spans="2:26">
      <c r="E9" s="12" t="s">
        <v>25</v>
      </c>
      <c r="F9" s="14">
        <v>731170</v>
      </c>
      <c r="G9" s="14">
        <v>122</v>
      </c>
      <c r="H9" s="14"/>
      <c r="I9" s="6" t="s">
        <v>98</v>
      </c>
      <c r="J9" s="7">
        <v>4</v>
      </c>
      <c r="K9" s="7">
        <v>3</v>
      </c>
      <c r="L9" s="7">
        <v>7</v>
      </c>
      <c r="S9" s="6" t="s">
        <v>66</v>
      </c>
      <c r="T9" s="7">
        <v>9</v>
      </c>
      <c r="V9" s="6" t="s">
        <v>49</v>
      </c>
      <c r="W9" s="7">
        <v>9</v>
      </c>
      <c r="Y9" s="6" t="s">
        <v>60</v>
      </c>
      <c r="Z9" s="19">
        <v>2.5555555555555554</v>
      </c>
    </row>
    <row r="10" spans="2:26">
      <c r="E10" s="12" t="s">
        <v>218</v>
      </c>
      <c r="F10" s="13">
        <v>3104913</v>
      </c>
      <c r="G10" s="13">
        <v>487</v>
      </c>
      <c r="H10" s="13"/>
      <c r="I10" s="6" t="s">
        <v>68</v>
      </c>
      <c r="J10" s="7">
        <v>4</v>
      </c>
      <c r="K10" s="7">
        <v>5</v>
      </c>
      <c r="L10" s="7">
        <v>9</v>
      </c>
      <c r="S10" s="6" t="s">
        <v>218</v>
      </c>
      <c r="T10" s="7">
        <v>50</v>
      </c>
      <c r="V10" s="6" t="s">
        <v>218</v>
      </c>
      <c r="W10" s="7">
        <v>50</v>
      </c>
      <c r="Y10" s="6" t="s">
        <v>218</v>
      </c>
      <c r="Z10" s="7">
        <v>2.62</v>
      </c>
    </row>
    <row r="11" spans="2:26">
      <c r="B11" s="6" t="s">
        <v>63</v>
      </c>
      <c r="C11">
        <f>IFERROR(GETPIVOTDATA("Full Name", $B$4, "Employment Status", "Contract"), 0)</f>
        <v>17</v>
      </c>
      <c r="I11" s="6" t="s">
        <v>218</v>
      </c>
      <c r="J11" s="7">
        <v>26</v>
      </c>
      <c r="K11" s="7">
        <v>24</v>
      </c>
      <c r="L11" s="7">
        <v>50</v>
      </c>
      <c r="N11" s="6" t="s">
        <v>44</v>
      </c>
      <c r="O11">
        <f>IFERROR(GETPIVOTDATA("Full Name",$N$4,"Work Location","Branch Office"),"0")</f>
        <v>23</v>
      </c>
      <c r="P11" s="16">
        <f t="shared" ref="P11:P13" si="0">SUM(O11)/SUM($O$11:$O$13)</f>
        <v>0.46</v>
      </c>
      <c r="Q11" s="17">
        <f>1-P11</f>
        <v>0.54</v>
      </c>
    </row>
    <row r="12" spans="2:26">
      <c r="B12" s="6" t="s">
        <v>29</v>
      </c>
      <c r="C12">
        <f>IFERROR(GETPIVOTDATA("Full Name",$B$4,"Employment Status","Full-Time"), 0)</f>
        <v>20</v>
      </c>
      <c r="G12" s="10"/>
      <c r="N12" s="6" t="s">
        <v>30</v>
      </c>
      <c r="O12">
        <f>IFERROR(GETPIVOTDATA("Full Name",$N$4,"Work Location","Head Office"),"0")</f>
        <v>8</v>
      </c>
      <c r="P12" s="16">
        <f t="shared" si="0"/>
        <v>0.16</v>
      </c>
      <c r="Q12" s="17">
        <f t="shared" ref="Q12:Q13" si="1">1-P12</f>
        <v>0.84</v>
      </c>
    </row>
    <row r="13" spans="2:26">
      <c r="B13" s="6" t="s">
        <v>111</v>
      </c>
      <c r="C13">
        <f>IFERROR(GETPIVOTDATA("Full Name",$B$4,"Employment Status","Part-Time"), 0)</f>
        <v>13</v>
      </c>
      <c r="E13" s="12" t="s">
        <v>121</v>
      </c>
      <c r="F13" s="15">
        <f>IFERROR(GETPIVOTDATA("Salary",$E$4,"Job Title","Analyst"),"0")</f>
        <v>167041</v>
      </c>
      <c r="G13" s="15">
        <f>IFERROR(GETPIVOTDATA("Sum of Leave Taken",$E$4,"Job Title","Analyst"),"0")</f>
        <v>28</v>
      </c>
      <c r="I13" s="6" t="s">
        <v>23</v>
      </c>
      <c r="J13">
        <f>IFERROR(GETPIVOTDATA("Full Name",$I$4,"Age range","18-25"),"0")</f>
        <v>9</v>
      </c>
      <c r="N13" s="6" t="s">
        <v>54</v>
      </c>
      <c r="O13">
        <f>IFERROR(GETPIVOTDATA("Full Name",$N$4,"Work Location","Remote"),"0")</f>
        <v>19</v>
      </c>
      <c r="P13" s="16">
        <f t="shared" si="0"/>
        <v>0.38</v>
      </c>
      <c r="Q13" s="17">
        <f t="shared" si="1"/>
        <v>0.62</v>
      </c>
      <c r="S13" s="6" t="s">
        <v>75</v>
      </c>
      <c r="T13">
        <f>IFERROR(GETPIVOTDATA("Full Name",$S$4,"Skills","Communication"),0)</f>
        <v>12</v>
      </c>
      <c r="V13" s="6" t="s">
        <v>39</v>
      </c>
      <c r="W13">
        <f>IFERROR(GETPIVOTDATA("Full Name",$V$4,"Region","Central"),"0")</f>
        <v>14</v>
      </c>
      <c r="Y13" s="6" t="s">
        <v>26</v>
      </c>
      <c r="Z13" s="19">
        <f>IFERROR(GETPIVOTDATA("Performance Rating",$Y$4,"Department","Finance"),"0")</f>
        <v>2.5833333333333335</v>
      </c>
    </row>
    <row r="14" spans="2:26">
      <c r="B14" s="6" t="s">
        <v>216</v>
      </c>
      <c r="C14">
        <f>SUM(C11:C13)</f>
        <v>50</v>
      </c>
      <c r="E14" s="12" t="s">
        <v>40</v>
      </c>
      <c r="F14" s="15">
        <f>IFERROR(GETPIVOTDATA("Salary",$E$4,"Job Title","Designer"),"0")</f>
        <v>613842</v>
      </c>
      <c r="G14" s="15">
        <f>IFERROR(GETPIVOTDATA("Sum of Leave Taken",$E$4,"Job Title","Designer"),"0")</f>
        <v>110</v>
      </c>
      <c r="I14" s="6" t="s">
        <v>38</v>
      </c>
      <c r="J14">
        <f>IFERROR(GETPIVOTDATA("Full Name",$I$4,"Age range","26-35"),"0")</f>
        <v>13</v>
      </c>
      <c r="N14" s="6" t="s">
        <v>216</v>
      </c>
      <c r="O14">
        <f>SUM(O11:O13)</f>
        <v>50</v>
      </c>
      <c r="S14" s="6" t="s">
        <v>34</v>
      </c>
      <c r="T14">
        <f>IFERROR(GETPIVOTDATA("Full Name",$S$4,"Skills","Design"),0)</f>
        <v>11</v>
      </c>
      <c r="V14" s="6" t="s">
        <v>24</v>
      </c>
      <c r="W14">
        <f>IFERROR(GETPIVOTDATA("Full Name",$V$4,"Region","East"),"0")</f>
        <v>10</v>
      </c>
      <c r="Y14" s="6" t="s">
        <v>41</v>
      </c>
      <c r="Z14" s="19">
        <f>IFERROR(GETPIVOTDATA("Performance Rating",$Y$4,"Department","HR"),"0")</f>
        <v>3.3</v>
      </c>
    </row>
    <row r="15" spans="2:26">
      <c r="E15" s="12" t="s">
        <v>72</v>
      </c>
      <c r="F15" s="15">
        <f>IFERROR(GETPIVOTDATA("Salary",$E$4,"Job Title","Developer"),"0")</f>
        <v>633594</v>
      </c>
      <c r="G15" s="15">
        <f>IFERROR(GETPIVOTDATA("Sum of Leave Taken",$E$4,"Job Title","Developer"),"0")</f>
        <v>104</v>
      </c>
      <c r="I15" s="6" t="s">
        <v>59</v>
      </c>
      <c r="J15">
        <f>IFERROR(GETPIVOTDATA("Full Name",$I$4,"Age range","36-45"),"0")</f>
        <v>12</v>
      </c>
      <c r="S15" s="6" t="s">
        <v>96</v>
      </c>
      <c r="T15">
        <f>IFERROR(GETPIVOTDATA("Full Name",$S$4,"Skills","Excel"),0)</f>
        <v>7</v>
      </c>
      <c r="V15" s="6" t="s">
        <v>102</v>
      </c>
      <c r="W15">
        <f>IFERROR(GETPIVOTDATA("Full Name",$V$4,"Region","North"),"0")</f>
        <v>7</v>
      </c>
      <c r="Y15" s="6" t="s">
        <v>81</v>
      </c>
      <c r="Z15" s="19">
        <f>IFERROR(GETPIVOTDATA("Performance Rating",$Y$4,"Department","IT"),"0")</f>
        <v>2.25</v>
      </c>
    </row>
    <row r="16" spans="2:26">
      <c r="E16" s="12" t="s">
        <v>50</v>
      </c>
      <c r="F16" s="15">
        <f>IFERROR(GETPIVOTDATA("Salary",$E$4,"Job Title","HR Specialist"),"0")</f>
        <v>959266</v>
      </c>
      <c r="G16" s="15">
        <f>IFERROR(GETPIVOTDATA("Sum of Leave Taken",$E$4,"Job Title","HR Specialist"),"0")</f>
        <v>123</v>
      </c>
      <c r="I16" s="6" t="s">
        <v>98</v>
      </c>
      <c r="J16">
        <f>IFERROR(GETPIVOTDATA("Full Name",$I$4,"Age range","46-55"),"0")</f>
        <v>7</v>
      </c>
      <c r="S16" s="6" t="s">
        <v>56</v>
      </c>
      <c r="T16">
        <f>IFERROR(GETPIVOTDATA("Full Name",$S$4,"Skills","Management"),0)</f>
        <v>11</v>
      </c>
      <c r="V16" s="6" t="s">
        <v>80</v>
      </c>
      <c r="W16">
        <f>IFERROR(GETPIVOTDATA("Full Name",$V$4,"Region","South"),"0")</f>
        <v>10</v>
      </c>
      <c r="Y16" s="6" t="s">
        <v>51</v>
      </c>
      <c r="Z16" s="19">
        <f>IFERROR(GETPIVOTDATA("Performance Rating",$Y$4,"Department","Marketing"),"0")</f>
        <v>2.3636363636363638</v>
      </c>
    </row>
    <row r="17" spans="5:26">
      <c r="E17" s="12" t="s">
        <v>25</v>
      </c>
      <c r="F17" s="15">
        <f>IFERROR(GETPIVOTDATA("Salary",$E$4,"Job Title","Manager"),"0")</f>
        <v>731170</v>
      </c>
      <c r="G17" s="15">
        <f>IFERROR(GETPIVOTDATA("Sum of Leave Taken",$E$4,"Job Title","Manager"),"0")</f>
        <v>122</v>
      </c>
      <c r="I17" s="6" t="s">
        <v>68</v>
      </c>
      <c r="J17">
        <f>IFERROR(GETPIVOTDATA("Full Name",$I$4,"Age range","56 &lt;"),"0")</f>
        <v>9</v>
      </c>
      <c r="S17" s="6" t="s">
        <v>66</v>
      </c>
      <c r="T17">
        <f>IFERROR(GETPIVOTDATA("Full Name",$S$4,"Skills","Python"),0)</f>
        <v>9</v>
      </c>
      <c r="V17" s="6" t="s">
        <v>49</v>
      </c>
      <c r="W17">
        <f>IFERROR(GETPIVOTDATA("Full Name",$V$4,"Region","West"),"0")</f>
        <v>9</v>
      </c>
      <c r="Y17" s="6" t="s">
        <v>60</v>
      </c>
      <c r="Z17" s="19">
        <f>IFERROR(GETPIVOTDATA("Performance Rating",$Y$4,"Department","Operations"),"0")</f>
        <v>2.5555555555555554</v>
      </c>
    </row>
    <row r="18" spans="5:26">
      <c r="E18" s="12" t="s">
        <v>216</v>
      </c>
      <c r="F18" s="15">
        <f>SUM(F13:F17)</f>
        <v>3104913</v>
      </c>
      <c r="G18" s="18">
        <f>SUM(G13:G17)</f>
        <v>487</v>
      </c>
      <c r="I18" s="6" t="s">
        <v>216</v>
      </c>
      <c r="J18">
        <f>SUM(J13:J17)</f>
        <v>50</v>
      </c>
      <c r="S18" s="6" t="s">
        <v>216</v>
      </c>
      <c r="T18">
        <f>SUM(T13:T17)</f>
        <v>50</v>
      </c>
      <c r="V18" s="6" t="s">
        <v>216</v>
      </c>
      <c r="W18">
        <f>SUM((W13:W17))</f>
        <v>50</v>
      </c>
      <c r="Y18" s="6" t="s">
        <v>216</v>
      </c>
      <c r="Z18" s="20">
        <f>AVERAGE(Z13:Z17)</f>
        <v>2.6105050505050502</v>
      </c>
    </row>
    <row r="20" spans="5:26">
      <c r="I20" s="6" t="s">
        <v>37</v>
      </c>
      <c r="J20">
        <f>IFERROR(GETPIVOTDATA("Full Name",$I$4,"Gender","Male"),"0")</f>
        <v>24</v>
      </c>
      <c r="K20" s="16">
        <f t="shared" ref="K20:K21" si="2">SUM(J20)/SUM($J$20:$J$21)</f>
        <v>0.48</v>
      </c>
      <c r="L20" s="17">
        <f>K21</f>
        <v>0.52</v>
      </c>
    </row>
    <row r="21" spans="5:26">
      <c r="I21" s="6" t="s">
        <v>22</v>
      </c>
      <c r="J21">
        <f>IFERROR(GETPIVOTDATA("Full Name",$I$4,"Gender","Female"),"0")</f>
        <v>26</v>
      </c>
      <c r="K21" s="16">
        <f t="shared" si="2"/>
        <v>0.52</v>
      </c>
      <c r="L21" s="17">
        <f>K20</f>
        <v>0.48</v>
      </c>
    </row>
    <row r="22" spans="5:26">
      <c r="I22" s="6" t="s">
        <v>216</v>
      </c>
      <c r="J22">
        <f>SUM(J20:J21)</f>
        <v>50</v>
      </c>
    </row>
  </sheetData>
  <mergeCells count="7">
    <mergeCell ref="N2:O2"/>
    <mergeCell ref="S2:T2"/>
    <mergeCell ref="E2:G2"/>
    <mergeCell ref="V2:W2"/>
    <mergeCell ref="Y2:Z2"/>
    <mergeCell ref="B2:C2"/>
    <mergeCell ref="I2:L2"/>
  </mergeCell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pc</cp:lastModifiedBy>
  <dcterms:created xsi:type="dcterms:W3CDTF">2024-12-11T17:14:33Z</dcterms:created>
  <dcterms:modified xsi:type="dcterms:W3CDTF">2026-05-07T22:51:18Z</dcterms:modified>
</cp:coreProperties>
</file>